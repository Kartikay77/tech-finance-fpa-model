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Actuals" sheetId="2" r:id="rId6"/>
    <sheet state="visible" name="Budget vs Actual" sheetId="3" r:id="rId7"/>
    <sheet state="visible" name="Forecast" sheetId="4" r:id="rId8"/>
    <sheet state="visible" name="Headcount" sheetId="5" r:id="rId9"/>
    <sheet state="visible" name="Cloud Costs" sheetId="6" r:id="rId10"/>
    <sheet state="visible" name="Team Analysis" sheetId="7" r:id="rId11"/>
    <sheet state="visible" name="Assumptions" sheetId="8" r:id="rId12"/>
    <sheet state="visible" name="annual_team_opex" sheetId="9" r:id="rId13"/>
    <sheet state="visible" name="Cost Mix" sheetId="10" r:id="rId14"/>
  </sheets>
  <definedNames>
    <definedName hidden="1" localSheetId="8" name="_xlnm._FilterDatabase">annual_team_opex!$A$1:$F$11</definedName>
  </definedNames>
  <calcPr/>
  <pivotCaches>
    <pivotCache cacheId="0" r:id="rId15"/>
    <pivotCache cacheId="1" r:id="rId16"/>
    <pivotCache cacheId="2" r:id="rId17"/>
    <pivotCache cacheId="3" r:id="rId18"/>
  </pivotCaches>
</workbook>
</file>

<file path=xl/sharedStrings.xml><?xml version="1.0" encoding="utf-8"?>
<sst xmlns="http://schemas.openxmlformats.org/spreadsheetml/2006/main" count="482" uniqueCount="66">
  <si>
    <t>Actual modeled operating spend</t>
  </si>
  <si>
    <t>$98.9M</t>
  </si>
  <si>
    <t xml:space="preserve">2025 Total OPEX            2026 Total OPEX           YoY Growth
$98.9M                            $114.2M                             15.5%      </t>
  </si>
  <si>
    <t>2026 Base Forecast        2026 Cost Reduction        2026 High Growth
$111.8M                                     $95.2M                                 $141.4M</t>
  </si>
  <si>
    <t>Savings vs Base
$16.5M                                        High Growth Increment
$29.6M</t>
  </si>
  <si>
    <t>month</t>
  </si>
  <si>
    <t>team_name</t>
  </si>
  <si>
    <t>budget_amount</t>
  </si>
  <si>
    <t>actual_amount</t>
  </si>
  <si>
    <t>variance_amount</t>
  </si>
  <si>
    <t>variance_pct</t>
  </si>
  <si>
    <t>ML Infrastructure</t>
  </si>
  <si>
    <t>SUM of budget_amount</t>
  </si>
  <si>
    <t>SUM of actual_amount</t>
  </si>
  <si>
    <t>headcount_cost</t>
  </si>
  <si>
    <t>cloud_cost</t>
  </si>
  <si>
    <t>vendor_cost</t>
  </si>
  <si>
    <t>total_actual_opex</t>
  </si>
  <si>
    <t>SUM of variance_amount</t>
  </si>
  <si>
    <t>AVERAGE of variance_pct</t>
  </si>
  <si>
    <t>Data Platform</t>
  </si>
  <si>
    <t>Payments Engineering</t>
  </si>
  <si>
    <t>Marketplace Platform</t>
  </si>
  <si>
    <t>Security Engineering</t>
  </si>
  <si>
    <t>Grand Total</t>
  </si>
  <si>
    <t>2026 actual OPEX increased 15.5% YoY, with headcount remaining the largest cost driver while cloud spend increased its share of total Technology OPEX.</t>
  </si>
  <si>
    <t>monthly_headcount_cost</t>
  </si>
  <si>
    <t>SUM of monthly_headcount_cost</t>
  </si>
  <si>
    <t>Assumption</t>
  </si>
  <si>
    <t>Base</t>
  </si>
  <si>
    <t>High Growth</t>
  </si>
  <si>
    <t>Cost Reduction</t>
  </si>
  <si>
    <t>Monthly growth</t>
  </si>
  <si>
    <t>Initial scenario multiplier</t>
  </si>
  <si>
    <t>1.00x</t>
  </si>
  <si>
    <t>1.10x</t>
  </si>
  <si>
    <t>0.94x</t>
  </si>
  <si>
    <t>TOTAL_actual_amount_2026</t>
  </si>
  <si>
    <t>Bonus</t>
  </si>
  <si>
    <t>Benefits</t>
  </si>
  <si>
    <t>Q3 cloud spike</t>
  </si>
  <si>
    <t>Vendor inflation 2026</t>
  </si>
  <si>
    <t>Cloud optimization</t>
  </si>
  <si>
    <t>Contractor reduction</t>
  </si>
  <si>
    <t>TOTAL_actual_amount_ALL_DATA</t>
  </si>
  <si>
    <t>Team</t>
  </si>
  <si>
    <t>Cloud Multiplier</t>
  </si>
  <si>
    <t>1.0x</t>
  </si>
  <si>
    <t>1.2x</t>
  </si>
  <si>
    <t>1.4x</t>
  </si>
  <si>
    <t>1.8x</t>
  </si>
  <si>
    <t>0.9x</t>
  </si>
  <si>
    <t>year</t>
  </si>
  <si>
    <t>total_opex</t>
  </si>
  <si>
    <t>total</t>
  </si>
  <si>
    <t>headcount_pct</t>
  </si>
  <si>
    <t>cloud_pct</t>
  </si>
  <si>
    <t>vendor_pct</t>
  </si>
  <si>
    <t>Category</t>
  </si>
  <si>
    <t>%</t>
  </si>
  <si>
    <t>Headcount</t>
  </si>
  <si>
    <t>Cloud</t>
  </si>
  <si>
    <t>Vendors</t>
  </si>
  <si>
    <t>Savings_vs_Base</t>
  </si>
  <si>
    <t>High_Growth_Increment</t>
  </si>
  <si>
    <t>Savings_pct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</si>
</sst>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 &quot;mmm&quot;-&quot;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Helvetica Neue"/>
    </font>
    <font>
      <sz val="8.0"/>
      <color rgb="FF000000"/>
      <name val="Helvetica Neue"/>
    </font>
    <font>
      <b/>
      <sz val="14.0"/>
      <color rgb="FFFF0000"/>
      <name val="Helvetica Neue"/>
    </font>
    <font>
      <b/>
      <sz val="10.0"/>
      <color rgb="FF000000"/>
      <name val="Arial"/>
      <scheme val="minor"/>
    </font>
    <font>
      <b/>
      <sz val="8.0"/>
      <color theme="1"/>
      <name val="Helvetica Neue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1" fillId="3" fontId="2" numFmtId="0" xfId="0" applyAlignment="1" applyBorder="1" applyFill="1" applyFont="1">
      <alignment readingOrder="0" vertical="top"/>
    </xf>
    <xf borderId="1" fillId="4" fontId="2" numFmtId="164" xfId="0" applyAlignment="1" applyBorder="1" applyFill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1" numFmtId="0" xfId="0" applyFont="1"/>
    <xf borderId="0" fillId="0" fontId="0" numFmtId="0" xfId="0" applyFont="1"/>
    <xf borderId="1" fillId="4" fontId="3" numFmtId="164" xfId="0" applyAlignment="1" applyBorder="1" applyFill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1" numFmtId="164" xfId="0" applyFont="1" applyNumberFormat="1"/>
    <xf borderId="0" fillId="0" fontId="3" numFmtId="0" xfId="0" applyAlignment="1" applyFont="1">
      <alignment readingOrder="0" vertical="top"/>
    </xf>
    <xf borderId="1" fillId="4" fontId="4" numFmtId="0" xfId="0" applyAlignment="1" applyBorder="1" applyFill="1" applyFont="1">
      <alignment readingOrder="0" vertical="top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0" numFmtId="0" xfId="0" applyAlignment="1" applyFont="1">
      <alignment readingOrder="0"/>
    </xf>
    <xf borderId="0" fillId="0" fontId="0" numFmtId="10" xfId="0" applyAlignment="1" applyFont="1" applyNumberFormat="1">
      <alignment horizontal="right" readingOrder="0"/>
    </xf>
    <xf borderId="0" fillId="0" fontId="0" numFmtId="0" xfId="0" applyAlignment="1" applyFont="1">
      <alignment horizontal="right" readingOrder="0"/>
    </xf>
    <xf borderId="0" fillId="0" fontId="0" numFmtId="9" xfId="0" applyAlignment="1" applyFont="1" applyNumberFormat="1">
      <alignment horizontal="right" readingOrder="0"/>
    </xf>
    <xf borderId="0" fillId="0" fontId="6" numFmtId="0" xfId="0" applyAlignment="1" applyFont="1">
      <alignment horizontal="left" readingOrder="0" shrinkToFit="0" vertical="top" wrapText="0"/>
    </xf>
    <xf borderId="1" fillId="4" fontId="2" numFmtId="0" xfId="0" applyAlignment="1" applyBorder="1" applyFill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3" fontId="5" numFmtId="0" xfId="0" applyAlignment="1" applyBorder="1" applyFill="1" applyFont="1">
      <alignment readingOrder="0" vertical="top"/>
    </xf>
    <xf borderId="0" fillId="0" fontId="7" numFmtId="0" xfId="0" applyFont="1"/>
    <xf borderId="1" fillId="4" fontId="5" numFmtId="0" xfId="0" applyAlignment="1" applyBorder="1" applyFill="1" applyFont="1">
      <alignment readingOrder="0" vertical="top"/>
    </xf>
    <xf borderId="1" fillId="0" fontId="0" numFmtId="0" xfId="0" applyAlignment="1" applyBorder="1" applyFont="1">
      <alignment readingOrder="0" vertical="top"/>
    </xf>
    <xf borderId="0" fillId="0" fontId="0" numFmtId="0" xfId="0" applyAlignment="1" applyFont="1">
      <alignment horizontal="right"/>
    </xf>
    <xf borderId="1" fillId="4" fontId="2" numFmtId="165" xfId="0" applyAlignment="1" applyBorder="1" applyFill="1" applyFont="1" applyNumberFormat="1">
      <alignment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Actuals-style">
      <tableStyleElement dxfId="1" type="firstRowStripe"/>
      <tableStyleElement dxfId="2" type="secondRowStripe"/>
    </tableStyle>
    <tableStyle count="2" pivot="0" name="Actuals-style 2">
      <tableStyleElement dxfId="1" type="firstRowStripe"/>
      <tableStyleElement dxfId="2" type="secondRowStripe"/>
    </tableStyle>
    <tableStyle count="4" pivot="0" name="annual_team_opex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Data Platform, ML Infrastructure, Marketplace Platform, Payments Engineering and Security Engineering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cat>
            <c:strRef>
              <c:f>annual_team_opex!$B$7:$B$11</c:f>
            </c:strRef>
          </c:cat>
          <c:val>
            <c:numRef>
              <c:f>annual_team_opex!$F$7:$F$11</c:f>
              <c:numCache/>
            </c:numRef>
          </c:val>
        </c:ser>
        <c:axId val="1105215164"/>
        <c:axId val="2073239164"/>
      </c:barChart>
      <c:catAx>
        <c:axId val="1105215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239164"/>
      </c:catAx>
      <c:valAx>
        <c:axId val="2073239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215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Technology OPEX — Actuals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Actuals!$E$1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$0.0,,&quot;M&quot;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Actuals!$A$2:$A$25</c:f>
            </c:strRef>
          </c:cat>
          <c:val>
            <c:numRef>
              <c:f>Actuals!$E$2:$E$25</c:f>
              <c:numCache/>
            </c:numRef>
          </c:val>
          <c:smooth val="0"/>
        </c:ser>
        <c:axId val="1829164589"/>
        <c:axId val="2054390667"/>
      </c:lineChart>
      <c:catAx>
        <c:axId val="182916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390667"/>
      </c:catAx>
      <c:valAx>
        <c:axId val="2054390667"/>
        <c:scaling>
          <c:orientation val="minMax"/>
          <c:max val="1.1E7"/>
          <c:min val="7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164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Technology OPEX Mix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Actuals!$B$1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Actuals!$A$2:$A$25</c:f>
            </c:strRef>
          </c:cat>
          <c:val>
            <c:numRef>
              <c:f>Actuals!$B$2:$B$25</c:f>
              <c:numCache/>
            </c:numRef>
          </c:val>
        </c:ser>
        <c:ser>
          <c:idx val="1"/>
          <c:order val="1"/>
          <c:tx>
            <c:strRef>
              <c:f>Actuals!$C$1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Actuals!$A$2:$A$25</c:f>
            </c:strRef>
          </c:cat>
          <c:val>
            <c:numRef>
              <c:f>Actuals!$C$2:$C$25</c:f>
              <c:numCache/>
            </c:numRef>
          </c:val>
        </c:ser>
        <c:ser>
          <c:idx val="2"/>
          <c:order val="2"/>
          <c:tx>
            <c:strRef>
              <c:f>Actuals!$D$1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Actuals!$A$2:$A$25</c:f>
            </c:strRef>
          </c:cat>
          <c:val>
            <c:numRef>
              <c:f>Actuals!$D$2:$D$25</c:f>
              <c:numCache/>
            </c:numRef>
          </c:val>
        </c:ser>
        <c:overlap val="100"/>
        <c:axId val="1097810366"/>
        <c:axId val="1746880824"/>
      </c:barChart>
      <c:catAx>
        <c:axId val="1097810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880824"/>
      </c:catAx>
      <c:valAx>
        <c:axId val="1746880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810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Cloud Budget vs Actual by Team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budget_amount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'Budget vs Actual'!$H$3:$H$7</c:f>
            </c:strRef>
          </c:cat>
          <c:val>
            <c:numRef>
              <c:f>'Budget vs Actual'!$I$3:$I$7</c:f>
              <c:numCache/>
            </c:numRef>
          </c:val>
        </c:ser>
        <c:ser>
          <c:idx val="1"/>
          <c:order val="1"/>
          <c:tx>
            <c:v>actual_amount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'Budget vs Actual'!$H$3:$H$7</c:f>
            </c:strRef>
          </c:cat>
          <c:val>
            <c:numRef>
              <c:f>'Budget vs Actual'!$J$3:$J$7</c:f>
              <c:numCache/>
            </c:numRef>
          </c:val>
        </c:ser>
        <c:axId val="1338609365"/>
        <c:axId val="500388712"/>
      </c:barChart>
      <c:catAx>
        <c:axId val="1338609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388712"/>
      </c:catAx>
      <c:valAx>
        <c:axId val="500388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609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Monthly Cloud Budget Variance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'Budget vs Actual'!$N$2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'Budget vs Actual'!$M$3:$M$16</c:f>
            </c:strRef>
          </c:cat>
          <c:val>
            <c:numRef>
              <c:f>'Budget vs Actual'!$N$3:$N$16</c:f>
              <c:numCache/>
            </c:numRef>
          </c:val>
          <c:smooth val="0"/>
        </c:ser>
        <c:axId val="1417316669"/>
        <c:axId val="476567176"/>
      </c:lineChart>
      <c:catAx>
        <c:axId val="1417316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567176"/>
      </c:catAx>
      <c:valAx>
        <c:axId val="476567176"/>
        <c:scaling>
          <c:orientation val="minMax"/>
          <c:max val="1000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variance_amount</a:t>
                </a:r>
              </a:p>
            </c:rich>
          </c:tx>
          <c:overlay val="0"/>
        </c:title>
        <c:numFmt formatCode="$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316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Headcount Cost by Engineering Team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Headcount!$G$1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Headcount!$F$2:$F$6</c:f>
            </c:strRef>
          </c:cat>
          <c:val>
            <c:numRef>
              <c:f>Headcount!$G$2:$G$6</c:f>
              <c:numCache/>
            </c:numRef>
          </c:val>
        </c:ser>
        <c:axId val="747574036"/>
        <c:axId val="1461542525"/>
      </c:barChart>
      <c:catAx>
        <c:axId val="747574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542525"/>
      </c:catAx>
      <c:valAx>
        <c:axId val="146154252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Annual Headcount Cost</a:t>
                </a:r>
              </a:p>
            </c:rich>
          </c:tx>
          <c:overlay val="0"/>
        </c:title>
        <c:numFmt formatCode="$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574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Cloud Spend by Engineering Team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'Cloud Costs'!$L$1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'Cloud Costs'!$K$2:$K$6</c:f>
            </c:strRef>
          </c:cat>
          <c:val>
            <c:numRef>
              <c:f>'Cloud Costs'!$L$2:$L$6</c:f>
              <c:numCache/>
            </c:numRef>
          </c:val>
        </c:ser>
        <c:axId val="1557557510"/>
        <c:axId val="1893281949"/>
      </c:barChart>
      <c:catAx>
        <c:axId val="1557557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Cloud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281949"/>
      </c:catAx>
      <c:valAx>
        <c:axId val="189328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Cloud Spend Trend</a:t>
                </a:r>
              </a:p>
            </c:rich>
          </c:tx>
          <c:overlay val="0"/>
        </c:title>
        <c:numFmt formatCode="$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557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TOTAL_actual_amount_ALL_DATA vs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'Cloud Costs'!$Q$1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$0.0,,&quot;M&quot;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'Cloud Costs'!$P$2:$P$25</c:f>
            </c:strRef>
          </c:cat>
          <c:val>
            <c:numRef>
              <c:f>'Cloud Costs'!$Q$2:$Q$25</c:f>
              <c:numCache/>
            </c:numRef>
          </c:val>
          <c:smooth val="0"/>
        </c:ser>
        <c:axId val="763046149"/>
        <c:axId val="627697389"/>
      </c:lineChart>
      <c:catAx>
        <c:axId val="763046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697389"/>
      </c:catAx>
      <c:valAx>
        <c:axId val="627697389"/>
        <c:scaling>
          <c:orientation val="minMax"/>
          <c:max val="2500000.0"/>
          <c:min val="1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TOTAL_actual_amount_ALL_DATA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046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Data Platform, ML Infrastructure, Marketplace Platform, Payments Engineering and Security Engineering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cat>
            <c:strRef>
              <c:f>annual_team_opex!$B$7:$B$11</c:f>
            </c:strRef>
          </c:cat>
          <c:val>
            <c:numRef>
              <c:f>annual_team_opex!$F$7:$F$11</c:f>
              <c:numCache/>
            </c:numRef>
          </c:val>
        </c:ser>
        <c:axId val="1657371169"/>
        <c:axId val="263938182"/>
      </c:barChart>
      <c:catAx>
        <c:axId val="1657371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938182"/>
      </c:catAx>
      <c:valAx>
        <c:axId val="263938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371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Technology OPEX Mix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'Cost Mix'!$J$1:$J$4</c:f>
            </c:strRef>
          </c:cat>
          <c:val>
            <c:numRef>
              <c:f>'Cost Mix'!$K$1:$K$4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1400175</xdr:colOff>
      <xdr:row>17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771525</xdr:colOff>
      <xdr:row>19</xdr:row>
      <xdr:rowOff>142875</xdr:rowOff>
    </xdr:from>
    <xdr:ext cx="74009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771525</xdr:colOff>
      <xdr:row>2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704850</xdr:colOff>
      <xdr:row>17</xdr:row>
      <xdr:rowOff>76200</xdr:rowOff>
    </xdr:from>
    <xdr:ext cx="10515600" cy="6238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26</xdr:row>
      <xdr:rowOff>38100</xdr:rowOff>
    </xdr:from>
    <xdr:ext cx="5715000" cy="3533775"/>
    <xdr:pic>
      <xdr:nvPicPr>
        <xdr:cNvPr id="150042100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11</xdr:row>
      <xdr:rowOff>180975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8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685800</xdr:colOff>
      <xdr:row>27</xdr:row>
      <xdr:rowOff>0</xdr:rowOff>
    </xdr:from>
    <xdr:ext cx="953452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13</xdr:row>
      <xdr:rowOff>200025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619125</xdr:colOff>
      <xdr:row>11</xdr:row>
      <xdr:rowOff>209550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1" sheet="Budget vs Actual"/>
  </cacheSource>
  <cacheFields>
    <cacheField name="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</sharedItems>
    </cacheField>
    <cacheField name="team_name" numFmtId="0">
      <sharedItems>
        <s v="ML Infrastructure"/>
        <s v="Data Platform"/>
        <s v="Payments Engineering"/>
        <s v="Marketplace Platform"/>
        <s v="Security Engineering"/>
      </sharedItems>
    </cacheField>
    <cacheField name="budget_amount" numFmtId="0">
      <sharedItems containsSemiMixedTypes="0" containsString="0" containsNumber="1" containsInteger="1">
        <n v="469800.0"/>
        <n v="252000.0"/>
        <n v="180000.0"/>
        <n v="216000.0"/>
        <n v="162000.0"/>
        <n v="497988.0"/>
        <n v="228960.0"/>
        <n v="190800.0"/>
        <n v="267120.0"/>
        <n v="171720.0"/>
      </sharedItems>
    </cacheField>
    <cacheField name="actual_amount" numFmtId="0">
      <sharedItems containsSemiMixedTypes="0" containsString="0" containsNumber="1">
        <n v="556733.14"/>
        <n v="270680.3"/>
        <n v="188861.5"/>
        <n v="225790.35"/>
        <n v="122311.5"/>
        <n v="583440.56"/>
        <n v="287571.24"/>
        <n v="240771.1"/>
        <n v="191752.82"/>
        <n v="127208.88"/>
        <n v="602858.15"/>
        <n v="238085.82"/>
        <n v="188100.7"/>
        <n v="258374.88"/>
        <n v="131661.05"/>
        <n v="606097.09"/>
        <n v="266776.44"/>
        <n v="187838.94"/>
        <n v="222588.49"/>
        <n v="139475.86"/>
        <n v="575304.08"/>
        <n v="285052.96"/>
        <n v="198270.59"/>
        <n v="234133.93"/>
        <n v="141273.13"/>
        <n v="604390.72"/>
        <n v="251594.11"/>
        <n v="287821.28"/>
        <n v="201313.24"/>
        <n v="132002.04"/>
        <n v="724794.73"/>
        <n v="342579.58"/>
        <n v="223722.45"/>
        <n v="267101.67"/>
        <n v="158114.26"/>
        <n v="734328.11"/>
        <n v="248865.1"/>
        <n v="330936.26"/>
        <n v="271470.27"/>
        <n v="163161.56"/>
        <n v="700096.14"/>
        <n v="355079.46"/>
        <n v="300625.57"/>
        <n v="247515.86"/>
        <n v="148967.26"/>
        <n v="627951.47"/>
        <n v="236866.65"/>
        <n v="271863.59"/>
        <n v="299798.27"/>
        <n v="144707.79"/>
        <n v="673492.93"/>
        <n v="276359.14"/>
        <n v="318636.93"/>
        <n v="226935.53"/>
        <n v="144352.49"/>
        <n v="678848.81"/>
        <n v="290347.02"/>
        <n v="236926.59"/>
        <n v="316487.28"/>
        <n v="157444.96"/>
        <n v="697476.88"/>
        <n v="294980.55"/>
        <n v="235065.46"/>
        <n v="315953.6"/>
        <n v="150231.3"/>
        <n v="721654.56"/>
        <n v="291861.59"/>
        <n v="336350.52"/>
        <n v="236765.4"/>
        <n v="163726.1"/>
        <n v="714700.19"/>
        <n v="352332.42"/>
        <n v="283223.99"/>
        <n v="232938.9"/>
        <n v="154005.01"/>
        <n v="742264.31"/>
        <n v="265085.23"/>
        <n v="306405.68"/>
        <n v="336552.89"/>
        <n v="170071.35"/>
        <n v="729666.52"/>
        <n v="307553.78"/>
        <n v="345391.6"/>
        <n v="242806.4"/>
        <n v="165558.09"/>
        <n v="727582.23"/>
        <n v="301189.23"/>
        <n v="246913.59"/>
        <n v="343238.28"/>
        <n v="173453.86"/>
        <n v="839460.33"/>
        <n v="296220.41"/>
        <n v="346172.53"/>
        <n v="395517.93"/>
        <n v="202473.69"/>
        <n v="876665.22"/>
        <n v="419709.8"/>
        <n v="289561.69"/>
        <n v="345396.97"/>
        <n v="191430.0"/>
        <n v="887518.67"/>
        <n v="383898.22"/>
        <n v="427486.5"/>
        <n v="292098.97"/>
        <n v="199652.39"/>
        <n v="760409.24"/>
        <n v="331354.66"/>
        <n v="375646.31"/>
        <n v="259760.6"/>
        <n v="168230.46"/>
        <n v="799221.47"/>
        <n v="284201.02"/>
        <n v="339116.2"/>
        <n v="380119.23"/>
        <n v="172735.0"/>
        <n v="868699.62"/>
        <n v="283552.65"/>
        <n v="392422.55"/>
        <n v="324794.44"/>
        <n v="171729.62"/>
      </sharedItems>
    </cacheField>
    <cacheField name="variance_amount" numFmtId="0">
      <sharedItems containsSemiMixedTypes="0" containsString="0" containsNumber="1">
        <n v="86933.14"/>
        <n v="18680.3"/>
        <n v="8861.5"/>
        <n v="9790.35"/>
        <n v="-39688.5"/>
        <n v="113640.56"/>
        <n v="35571.24"/>
        <n v="24771.1"/>
        <n v="11752.82"/>
        <n v="-34791.12"/>
        <n v="133058.15"/>
        <n v="22085.82"/>
        <n v="8100.7"/>
        <n v="6374.88"/>
        <n v="-30338.95"/>
        <n v="136297.09"/>
        <n v="14776.44"/>
        <n v="7838.94"/>
        <n v="6588.49"/>
        <n v="-22524.14"/>
        <n v="105504.08"/>
        <n v="33052.96"/>
        <n v="18270.59"/>
        <n v="18133.93"/>
        <n v="-20726.87"/>
        <n v="134590.72"/>
        <n v="35594.11"/>
        <n v="35821.28"/>
        <n v="21313.24"/>
        <n v="-29997.96"/>
        <n v="254994.73"/>
        <n v="90579.58"/>
        <n v="43722.45"/>
        <n v="51101.67"/>
        <n v="-3885.74"/>
        <n v="264528.11"/>
        <n v="68865.1"/>
        <n v="78936.26"/>
        <n v="55470.27"/>
        <n v="1161.56"/>
        <n v="230296.14"/>
        <n v="103079.46"/>
        <n v="84625.57"/>
        <n v="67515.86"/>
        <n v="-13032.74"/>
        <n v="158151.47"/>
        <n v="56866.65"/>
        <n v="55863.59"/>
        <n v="47798.27"/>
        <n v="-17292.21"/>
        <n v="203692.93"/>
        <n v="60359.14"/>
        <n v="66636.93"/>
        <n v="46935.53"/>
        <n v="-17647.51"/>
        <n v="209048.81"/>
        <n v="74347.02"/>
        <n v="56926.59"/>
        <n v="64487.28"/>
        <n v="-4555.04"/>
        <n v="199488.88"/>
        <n v="66020.55"/>
        <n v="44265.46"/>
        <n v="48833.6"/>
        <n v="-21488.7"/>
        <n v="223666.56"/>
        <n v="62901.59"/>
        <n v="69230.52"/>
        <n v="45965.4"/>
        <n v="-7993.9"/>
        <n v="216712.19"/>
        <n v="85212.42"/>
        <n v="54263.99"/>
        <n v="42138.9"/>
        <n v="-17714.99"/>
        <n v="244276.31"/>
        <n v="74285.23"/>
        <n v="77445.68"/>
        <n v="69432.89"/>
        <n v="-1648.65"/>
        <n v="231678.52"/>
        <n v="78593.78"/>
        <n v="78271.6"/>
        <n v="52006.4"/>
        <n v="-6161.91"/>
        <n v="229594.23"/>
        <n v="72229.23"/>
        <n v="56113.59"/>
        <n v="76118.28"/>
        <n v="1733.86"/>
        <n v="341472.33"/>
        <n v="105420.41"/>
        <n v="117212.53"/>
        <n v="128397.93"/>
        <n v="30753.69"/>
        <n v="378677.22"/>
        <n v="152589.8"/>
        <n v="98761.69"/>
        <n v="116436.97"/>
        <n v="19710.0"/>
        <n v="389530.67"/>
        <n v="154938.22"/>
        <n v="160366.5"/>
        <n v="101298.97"/>
        <n v="27932.39"/>
        <n v="262421.24"/>
        <n v="102394.66"/>
        <n v="108526.31"/>
        <n v="68960.6"/>
        <n v="-3489.54"/>
        <n v="301233.47"/>
        <n v="93401.02"/>
        <n v="110156.2"/>
        <n v="112999.23"/>
        <n v="1015.0"/>
        <n v="370711.62"/>
        <n v="92752.65"/>
        <n v="125302.55"/>
        <n v="95834.44"/>
        <n v="9.62"/>
      </sharedItems>
    </cacheField>
    <cacheField name="variance_pct" numFmtId="0">
      <sharedItems containsSemiMixedTypes="0" containsString="0" containsNumber="1">
        <n v="18.5043"/>
        <n v="7.4128"/>
        <n v="4.9231"/>
        <n v="4.5326"/>
        <n v="-24.4991"/>
        <n v="24.1891"/>
        <n v="14.1156"/>
        <n v="11.4681"/>
        <n v="6.5293"/>
        <n v="-21.476"/>
        <n v="28.3223"/>
        <n v="10.2249"/>
        <n v="4.5004"/>
        <n v="2.5297"/>
        <n v="-18.7277"/>
        <n v="29.0117"/>
        <n v="5.8637"/>
        <n v="4.355"/>
        <n v="3.0502"/>
        <n v="-13.9038"/>
        <n v="22.4572"/>
        <n v="13.1163"/>
        <n v="10.1503"/>
        <n v="8.3953"/>
        <n v="-12.7944"/>
        <n v="28.6485"/>
        <n v="16.4788"/>
        <n v="14.2148"/>
        <n v="11.8407"/>
        <n v="-18.5173"/>
        <n v="54.2773"/>
        <n v="35.9443"/>
        <n v="24.2903"/>
        <n v="23.6582"/>
        <n v="-2.3986"/>
        <n v="56.3065"/>
        <n v="38.2584"/>
        <n v="31.3239"/>
        <n v="25.6807"/>
        <n v="0.717"/>
        <n v="49.02"/>
        <n v="40.9045"/>
        <n v="39.1785"/>
        <n v="37.5088"/>
        <n v="-8.0449"/>
        <n v="33.6636"/>
        <n v="31.5926"/>
        <n v="25.8628"/>
        <n v="18.9676"/>
        <n v="-10.6742"/>
        <n v="43.3574"/>
        <n v="27.944"/>
        <n v="26.4432"/>
        <n v="26.0753"/>
        <n v="-10.8935"/>
        <n v="44.4974"/>
        <n v="34.4199"/>
        <n v="31.6259"/>
        <n v="25.5902"/>
        <n v="-2.8118"/>
        <n v="40.059"/>
        <n v="28.835"/>
        <n v="23.1999"/>
        <n v="18.2815"/>
        <n v="-12.5138"/>
        <n v="44.914"/>
        <n v="27.4727"/>
        <n v="25.9174"/>
        <n v="24.0909"/>
        <n v="-4.6552"/>
        <n v="43.5176"/>
        <n v="31.9004"/>
        <n v="23.7002"/>
        <n v="22.0854"/>
        <n v="-10.3162"/>
        <n v="49.0526"/>
        <n v="38.9336"/>
        <n v="33.825"/>
        <n v="25.9931"/>
        <n v="-0.9601"/>
        <n v="46.5229"/>
        <n v="34.3264"/>
        <n v="29.302"/>
        <n v="27.257"/>
        <n v="-3.5883"/>
        <n v="46.1044"/>
        <n v="31.5467"/>
        <n v="29.4096"/>
        <n v="28.4959"/>
        <n v="1.0097"/>
        <n v="68.5704"/>
        <n v="55.2518"/>
        <n v="51.1935"/>
        <n v="48.0675"/>
        <n v="17.9092"/>
        <n v="76.0414"/>
        <n v="57.1241"/>
        <n v="51.7619"/>
        <n v="50.8547"/>
        <n v="11.478"/>
        <n v="78.2209"/>
        <n v="67.6704"/>
        <n v="60.0354"/>
        <n v="53.0917"/>
        <n v="16.2662"/>
        <n v="52.6963"/>
        <n v="44.7216"/>
        <n v="40.6283"/>
        <n v="36.1429"/>
        <n v="-2.0321"/>
        <n v="60.4901"/>
        <n v="48.9523"/>
        <n v="48.1115"/>
        <n v="42.3028"/>
        <n v="0.5911"/>
        <n v="74.4419"/>
        <n v="48.6125"/>
        <n v="46.9087"/>
        <n v="41.8564"/>
        <n v="0.005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21" sheet="Headcount"/>
  </cacheSource>
  <cacheFields>
    <cacheField name="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</sharedItems>
    </cacheField>
    <cacheField name="team_name" numFmtId="0">
      <sharedItems>
        <s v="Marketplace Platform"/>
        <s v="Data Platform"/>
        <s v="Payments Engineering"/>
        <s v="ML Infrastructure"/>
        <s v="Security Engineering"/>
      </sharedItems>
    </cacheField>
    <cacheField name="monthly_headcount_cost" numFmtId="0">
      <sharedItems containsSemiMixedTypes="0" containsString="0" containsNumber="1">
        <n v="1485250.0"/>
        <n v="1165666.6666658"/>
        <n v="1111500.0"/>
        <n v="1073583.3333342"/>
        <n v="1061125.0"/>
        <n v="1416458.3333329"/>
        <n v="1160250.0"/>
        <n v="1108250.0"/>
        <n v="1040000.0"/>
        <n v="1029166.6666671"/>
        <n v="1439750.0"/>
        <n v="1161333.3333329"/>
        <n v="1085500.0"/>
        <n v="1024833.3333329"/>
        <n v="1437583.3333329"/>
        <n v="1191125.0"/>
        <n v="1087666.6666671"/>
        <n v="1029708.3333329"/>
        <n v="1087125.0"/>
        <n v="1056249.9999987"/>
        <n v="1460875.0"/>
        <n v="1192208.3333342"/>
        <n v="1059500.0"/>
        <n v="1018875.0"/>
        <n v="980958.3333329"/>
        <n v="1482000.0"/>
        <n v="1252333.3333342"/>
        <n v="1128833.3333329"/>
        <n v="1081708.3333329"/>
        <n v="1073041.6666671"/>
        <n v="1253416.6666671"/>
        <n v="1175416.6666671"/>
        <n v="1121249.9999987"/>
        <n v="1277791.6666671"/>
        <n v="1177583.3333329"/>
        <n v="1170541.6666671"/>
        <n v="1128291.6666671"/>
        <n v="1511791.6666658"/>
        <n v="1154833.3333329"/>
        <n v="1121791.6666671"/>
        <n v="1107708.3333329"/>
        <n v="1464125.0"/>
        <n v="1227958.3333329"/>
        <n v="1095250.0000013"/>
        <n v="1212250.0"/>
        <n v="1081166.6666671"/>
        <n v="1626885.0"/>
        <n v="1310546.25"/>
        <n v="1255312.5"/>
        <n v="1216258.3333329"/>
        <n v="1210679.1666671"/>
        <n v="1648643.75"/>
        <n v="1289903.3333342"/>
        <n v="1237459.1666671"/>
        <n v="1311662.0833342"/>
        <n v="1260891.6666671"/>
        <n v="1183899.1666671"/>
        <n v="1177762.0833329"/>
        <n v="1317241.25"/>
        <n v="1258660.0"/>
        <n v="1239690.8333329"/>
        <n v="1316125.4166671"/>
        <n v="1205657.9166671"/>
        <n v="1333420.8333342"/>
        <n v="1257544.1666671"/>
        <n v="1210121.25"/>
        <n v="1699972.0833329"/>
        <n v="1427150.8333329"/>
        <n v="1327841.6666658"/>
        <n v="1282092.5"/>
        <n v="1231880.0"/>
        <n v="1376938.3333329"/>
        <n v="1364106.25"/>
        <n v="1350158.3333329"/>
        <n v="1253638.75"/>
        <n v="1721730.8333329"/>
        <n v="1412087.0833342"/>
        <n v="1356853.3333329"/>
        <n v="1301061.6666671"/>
        <n v="1259217.9166671"/>
        <n v="1380285.8333329"/>
        <n v="1332305.0"/>
        <n v="1302177.5"/>
        <n v="1308872.5"/>
        <n v="1280418.75"/>
        <n v="1278187.0833329"/>
        <n v="1727310.0"/>
        <n v="1384749.1666658"/>
        <n v="1307756.6666671"/>
        <n v="1300503.7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1" sheet="Cloud Costs"/>
  </cacheSource>
  <cacheFields>
    <cacheField name="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</sharedItems>
    </cacheField>
    <cacheField name="team_name" numFmtId="0">
      <sharedItems>
        <s v="ML Infrastructure"/>
        <s v="Data Platform"/>
        <s v="Payments Engineering"/>
        <s v="Marketplace Platform"/>
        <s v="Security Engineering"/>
      </sharedItems>
    </cacheField>
    <cacheField name="budget_amount" numFmtId="0">
      <sharedItems containsSemiMixedTypes="0" containsString="0" containsNumber="1" containsInteger="1">
        <n v="469800.0"/>
        <n v="252000.0"/>
        <n v="180000.0"/>
        <n v="216000.0"/>
        <n v="162000.0"/>
        <n v="497988.0"/>
        <n v="228960.0"/>
        <n v="190800.0"/>
        <n v="267120.0"/>
        <n v="171720.0"/>
      </sharedItems>
    </cacheField>
    <cacheField name="actual_amount" numFmtId="0">
      <sharedItems containsSemiMixedTypes="0" containsString="0" containsNumber="1">
        <n v="556733.14"/>
        <n v="270680.3"/>
        <n v="188861.5"/>
        <n v="225790.35"/>
        <n v="122311.5"/>
        <n v="583440.56"/>
        <n v="287571.24"/>
        <n v="240771.1"/>
        <n v="191752.82"/>
        <n v="127208.88"/>
        <n v="602858.15"/>
        <n v="238085.82"/>
        <n v="188100.7"/>
        <n v="258374.88"/>
        <n v="131661.05"/>
        <n v="606097.09"/>
        <n v="266776.44"/>
        <n v="187838.94"/>
        <n v="222588.49"/>
        <n v="139475.86"/>
        <n v="575304.08"/>
        <n v="285052.96"/>
        <n v="198270.59"/>
        <n v="234133.93"/>
        <n v="141273.13"/>
        <n v="604390.72"/>
        <n v="251594.11"/>
        <n v="287821.28"/>
        <n v="201313.24"/>
        <n v="132002.04"/>
        <n v="724794.73"/>
        <n v="342579.58"/>
        <n v="223722.45"/>
        <n v="267101.67"/>
        <n v="158114.26"/>
        <n v="734328.11"/>
        <n v="248865.1"/>
        <n v="330936.26"/>
        <n v="271470.27"/>
        <n v="163161.56"/>
        <n v="700096.14"/>
        <n v="355079.46"/>
        <n v="300625.57"/>
        <n v="247515.86"/>
        <n v="148967.26"/>
        <n v="627951.47"/>
        <n v="236866.65"/>
        <n v="271863.59"/>
        <n v="299798.27"/>
        <n v="144707.79"/>
        <n v="673492.93"/>
        <n v="276359.14"/>
        <n v="318636.93"/>
        <n v="226935.53"/>
        <n v="144352.49"/>
        <n v="678848.81"/>
        <n v="290347.02"/>
        <n v="236926.59"/>
        <n v="316487.28"/>
        <n v="157444.96"/>
        <n v="697476.88"/>
        <n v="294980.55"/>
        <n v="235065.46"/>
        <n v="315953.6"/>
        <n v="150231.3"/>
        <n v="721654.56"/>
        <n v="291861.59"/>
        <n v="336350.52"/>
        <n v="236765.4"/>
        <n v="163726.1"/>
        <n v="714700.19"/>
        <n v="352332.42"/>
        <n v="283223.99"/>
        <n v="232938.9"/>
        <n v="154005.01"/>
        <n v="742264.31"/>
        <n v="265085.23"/>
        <n v="306405.68"/>
        <n v="336552.89"/>
        <n v="170071.35"/>
        <n v="729666.52"/>
        <n v="307553.78"/>
        <n v="345391.6"/>
        <n v="242806.4"/>
        <n v="165558.09"/>
        <n v="727582.23"/>
        <n v="301189.23"/>
        <n v="246913.59"/>
        <n v="343238.28"/>
        <n v="173453.86"/>
        <n v="839460.33"/>
        <n v="296220.41"/>
        <n v="346172.53"/>
        <n v="395517.93"/>
        <n v="202473.69"/>
        <n v="876665.22"/>
        <n v="419709.8"/>
        <n v="289561.69"/>
        <n v="345396.97"/>
        <n v="191430.0"/>
        <n v="887518.67"/>
        <n v="383898.22"/>
        <n v="427486.5"/>
        <n v="292098.97"/>
        <n v="199652.39"/>
        <n v="760409.24"/>
        <n v="331354.66"/>
        <n v="375646.31"/>
        <n v="259760.6"/>
        <n v="168230.46"/>
        <n v="799221.47"/>
        <n v="284201.02"/>
        <n v="339116.2"/>
        <n v="380119.23"/>
        <n v="172735.0"/>
        <n v="868699.62"/>
        <n v="283552.65"/>
        <n v="392422.55"/>
        <n v="324794.44"/>
        <n v="171729.62"/>
      </sharedItems>
    </cacheField>
    <cacheField name="variance_amount" numFmtId="0">
      <sharedItems containsSemiMixedTypes="0" containsString="0" containsNumber="1">
        <n v="86933.14"/>
        <n v="18680.3"/>
        <n v="8861.5"/>
        <n v="9790.35"/>
        <n v="-39688.5"/>
        <n v="113640.56"/>
        <n v="35571.24"/>
        <n v="24771.1"/>
        <n v="11752.82"/>
        <n v="-34791.12"/>
        <n v="133058.15"/>
        <n v="22085.82"/>
        <n v="8100.7"/>
        <n v="6374.88"/>
        <n v="-30338.95"/>
        <n v="136297.09"/>
        <n v="14776.44"/>
        <n v="7838.94"/>
        <n v="6588.49"/>
        <n v="-22524.14"/>
        <n v="105504.08"/>
        <n v="33052.96"/>
        <n v="18270.59"/>
        <n v="18133.93"/>
        <n v="-20726.87"/>
        <n v="134590.72"/>
        <n v="35594.11"/>
        <n v="35821.28"/>
        <n v="21313.24"/>
        <n v="-29997.96"/>
        <n v="254994.73"/>
        <n v="90579.58"/>
        <n v="43722.45"/>
        <n v="51101.67"/>
        <n v="-3885.74"/>
        <n v="264528.11"/>
        <n v="68865.1"/>
        <n v="78936.26"/>
        <n v="55470.27"/>
        <n v="1161.56"/>
        <n v="230296.14"/>
        <n v="103079.46"/>
        <n v="84625.57"/>
        <n v="67515.86"/>
        <n v="-13032.74"/>
        <n v="158151.47"/>
        <n v="56866.65"/>
        <n v="55863.59"/>
        <n v="47798.27"/>
        <n v="-17292.21"/>
        <n v="203692.93"/>
        <n v="60359.14"/>
        <n v="66636.93"/>
        <n v="46935.53"/>
        <n v="-17647.51"/>
        <n v="209048.81"/>
        <n v="74347.02"/>
        <n v="56926.59"/>
        <n v="64487.28"/>
        <n v="-4555.04"/>
        <n v="199488.88"/>
        <n v="66020.55"/>
        <n v="44265.46"/>
        <n v="48833.6"/>
        <n v="-21488.7"/>
        <n v="223666.56"/>
        <n v="62901.59"/>
        <n v="69230.52"/>
        <n v="45965.4"/>
        <n v="-7993.9"/>
        <n v="216712.19"/>
        <n v="85212.42"/>
        <n v="54263.99"/>
        <n v="42138.9"/>
        <n v="-17714.99"/>
        <n v="244276.31"/>
        <n v="74285.23"/>
        <n v="77445.68"/>
        <n v="69432.89"/>
        <n v="-1648.65"/>
        <n v="231678.52"/>
        <n v="78593.78"/>
        <n v="78271.6"/>
        <n v="52006.4"/>
        <n v="-6161.91"/>
        <n v="229594.23"/>
        <n v="72229.23"/>
        <n v="56113.59"/>
        <n v="76118.28"/>
        <n v="1733.86"/>
        <n v="341472.33"/>
        <n v="105420.41"/>
        <n v="117212.53"/>
        <n v="128397.93"/>
        <n v="30753.69"/>
        <n v="378677.22"/>
        <n v="152589.8"/>
        <n v="98761.69"/>
        <n v="116436.97"/>
        <n v="19710.0"/>
        <n v="389530.67"/>
        <n v="154938.22"/>
        <n v="160366.5"/>
        <n v="101298.97"/>
        <n v="27932.39"/>
        <n v="262421.24"/>
        <n v="102394.66"/>
        <n v="108526.31"/>
        <n v="68960.6"/>
        <n v="-3489.54"/>
        <n v="301233.47"/>
        <n v="93401.02"/>
        <n v="110156.2"/>
        <n v="112999.23"/>
        <n v="1015.0"/>
        <n v="370711.62"/>
        <n v="92752.65"/>
        <n v="125302.55"/>
        <n v="95834.44"/>
        <n v="9.62"/>
      </sharedItems>
    </cacheField>
    <cacheField name="variance_pct" numFmtId="0">
      <sharedItems containsSemiMixedTypes="0" containsString="0" containsNumber="1">
        <n v="18.5043"/>
        <n v="7.4128"/>
        <n v="4.9231"/>
        <n v="4.5326"/>
        <n v="-24.4991"/>
        <n v="24.1891"/>
        <n v="14.1156"/>
        <n v="11.4681"/>
        <n v="6.5293"/>
        <n v="-21.476"/>
        <n v="28.3223"/>
        <n v="10.2249"/>
        <n v="4.5004"/>
        <n v="2.5297"/>
        <n v="-18.7277"/>
        <n v="29.0117"/>
        <n v="5.8637"/>
        <n v="4.355"/>
        <n v="3.0502"/>
        <n v="-13.9038"/>
        <n v="22.4572"/>
        <n v="13.1163"/>
        <n v="10.1503"/>
        <n v="8.3953"/>
        <n v="-12.7944"/>
        <n v="28.6485"/>
        <n v="16.4788"/>
        <n v="14.2148"/>
        <n v="11.8407"/>
        <n v="-18.5173"/>
        <n v="54.2773"/>
        <n v="35.9443"/>
        <n v="24.2903"/>
        <n v="23.6582"/>
        <n v="-2.3986"/>
        <n v="56.3065"/>
        <n v="38.2584"/>
        <n v="31.3239"/>
        <n v="25.6807"/>
        <n v="0.717"/>
        <n v="49.02"/>
        <n v="40.9045"/>
        <n v="39.1785"/>
        <n v="37.5088"/>
        <n v="-8.0449"/>
        <n v="33.6636"/>
        <n v="31.5926"/>
        <n v="25.8628"/>
        <n v="18.9676"/>
        <n v="-10.6742"/>
        <n v="43.3574"/>
        <n v="27.944"/>
        <n v="26.4432"/>
        <n v="26.0753"/>
        <n v="-10.8935"/>
        <n v="44.4974"/>
        <n v="34.4199"/>
        <n v="31.6259"/>
        <n v="25.5902"/>
        <n v="-2.8118"/>
        <n v="40.059"/>
        <n v="28.835"/>
        <n v="23.1999"/>
        <n v="18.2815"/>
        <n v="-12.5138"/>
        <n v="44.914"/>
        <n v="27.4727"/>
        <n v="25.9174"/>
        <n v="24.0909"/>
        <n v="-4.6552"/>
        <n v="43.5176"/>
        <n v="31.9004"/>
        <n v="23.7002"/>
        <n v="22.0854"/>
        <n v="-10.3162"/>
        <n v="49.0526"/>
        <n v="38.9336"/>
        <n v="33.825"/>
        <n v="25.9931"/>
        <n v="-0.9601"/>
        <n v="46.5229"/>
        <n v="34.3264"/>
        <n v="29.302"/>
        <n v="27.257"/>
        <n v="-3.5883"/>
        <n v="46.1044"/>
        <n v="31.5467"/>
        <n v="29.4096"/>
        <n v="28.4959"/>
        <n v="1.0097"/>
        <n v="68.5704"/>
        <n v="55.2518"/>
        <n v="51.1935"/>
        <n v="48.0675"/>
        <n v="17.9092"/>
        <n v="76.0414"/>
        <n v="57.1241"/>
        <n v="51.7619"/>
        <n v="50.8547"/>
        <n v="11.478"/>
        <n v="78.2209"/>
        <n v="67.6704"/>
        <n v="60.0354"/>
        <n v="53.0917"/>
        <n v="16.2662"/>
        <n v="52.6963"/>
        <n v="44.7216"/>
        <n v="40.6283"/>
        <n v="36.1429"/>
        <n v="-2.0321"/>
        <n v="60.4901"/>
        <n v="48.9523"/>
        <n v="48.1115"/>
        <n v="42.3028"/>
        <n v="0.5911"/>
        <n v="74.4419"/>
        <n v="48.6125"/>
        <n v="46.9087"/>
        <n v="41.8564"/>
        <n v="0.0056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21" sheet="Cloud Costs"/>
  </cacheSource>
  <cacheFields>
    <cacheField name="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</sharedItems>
    </cacheField>
    <cacheField name="team_name" numFmtId="0">
      <sharedItems>
        <s v="ML Infrastructure"/>
        <s v="Data Platform"/>
        <s v="Payments Engineering"/>
        <s v="Marketplace Platform"/>
        <s v="Security Engineering"/>
      </sharedItems>
    </cacheField>
    <cacheField name="budget_amount" numFmtId="0">
      <sharedItems containsSemiMixedTypes="0" containsString="0" containsNumber="1" containsInteger="1">
        <n v="469800.0"/>
        <n v="252000.0"/>
        <n v="180000.0"/>
        <n v="216000.0"/>
        <n v="162000.0"/>
        <n v="497988.0"/>
        <n v="228960.0"/>
        <n v="190800.0"/>
        <n v="267120.0"/>
        <n v="171720.0"/>
      </sharedItems>
    </cacheField>
    <cacheField name="actual_amount" numFmtId="0">
      <sharedItems containsSemiMixedTypes="0" containsString="0" containsNumber="1">
        <n v="556733.14"/>
        <n v="270680.3"/>
        <n v="188861.5"/>
        <n v="225790.35"/>
        <n v="122311.5"/>
        <n v="583440.56"/>
        <n v="287571.24"/>
        <n v="240771.1"/>
        <n v="191752.82"/>
        <n v="127208.88"/>
        <n v="602858.15"/>
        <n v="238085.82"/>
        <n v="188100.7"/>
        <n v="258374.88"/>
        <n v="131661.05"/>
        <n v="606097.09"/>
        <n v="266776.44"/>
        <n v="187838.94"/>
        <n v="222588.49"/>
        <n v="139475.86"/>
        <n v="575304.08"/>
        <n v="285052.96"/>
        <n v="198270.59"/>
        <n v="234133.93"/>
        <n v="141273.13"/>
        <n v="604390.72"/>
        <n v="251594.11"/>
        <n v="287821.28"/>
        <n v="201313.24"/>
        <n v="132002.04"/>
        <n v="724794.73"/>
        <n v="342579.58"/>
        <n v="223722.45"/>
        <n v="267101.67"/>
        <n v="158114.26"/>
        <n v="734328.11"/>
        <n v="248865.1"/>
        <n v="330936.26"/>
        <n v="271470.27"/>
        <n v="163161.56"/>
        <n v="700096.14"/>
        <n v="355079.46"/>
        <n v="300625.57"/>
        <n v="247515.86"/>
        <n v="148967.26"/>
        <n v="627951.47"/>
        <n v="236866.65"/>
        <n v="271863.59"/>
        <n v="299798.27"/>
        <n v="144707.79"/>
        <n v="673492.93"/>
        <n v="276359.14"/>
        <n v="318636.93"/>
        <n v="226935.53"/>
        <n v="144352.49"/>
        <n v="678848.81"/>
        <n v="290347.02"/>
        <n v="236926.59"/>
        <n v="316487.28"/>
        <n v="157444.96"/>
        <n v="697476.88"/>
        <n v="294980.55"/>
        <n v="235065.46"/>
        <n v="315953.6"/>
        <n v="150231.3"/>
        <n v="721654.56"/>
        <n v="291861.59"/>
        <n v="336350.52"/>
        <n v="236765.4"/>
        <n v="163726.1"/>
        <n v="714700.19"/>
        <n v="352332.42"/>
        <n v="283223.99"/>
        <n v="232938.9"/>
        <n v="154005.01"/>
        <n v="742264.31"/>
        <n v="265085.23"/>
        <n v="306405.68"/>
        <n v="336552.89"/>
        <n v="170071.35"/>
        <n v="729666.52"/>
        <n v="307553.78"/>
        <n v="345391.6"/>
        <n v="242806.4"/>
        <n v="165558.09"/>
        <n v="727582.23"/>
        <n v="301189.23"/>
        <n v="246913.59"/>
        <n v="343238.28"/>
        <n v="173453.86"/>
        <n v="839460.33"/>
        <n v="296220.41"/>
        <n v="346172.53"/>
        <n v="395517.93"/>
        <n v="202473.69"/>
        <n v="876665.22"/>
        <n v="419709.8"/>
        <n v="289561.69"/>
        <n v="345396.97"/>
        <n v="191430.0"/>
        <n v="887518.67"/>
        <n v="383898.22"/>
        <n v="427486.5"/>
        <n v="292098.97"/>
        <n v="199652.39"/>
        <n v="760409.24"/>
        <n v="331354.66"/>
        <n v="375646.31"/>
        <n v="259760.6"/>
        <n v="168230.46"/>
        <n v="799221.47"/>
        <n v="284201.02"/>
        <n v="339116.2"/>
        <n v="380119.23"/>
        <n v="172735.0"/>
        <n v="868699.62"/>
        <n v="283552.65"/>
        <n v="392422.55"/>
        <n v="324794.44"/>
        <n v="171729.62"/>
      </sharedItems>
    </cacheField>
    <cacheField name="variance_amount" numFmtId="0">
      <sharedItems containsSemiMixedTypes="0" containsString="0" containsNumber="1">
        <n v="86933.14"/>
        <n v="18680.3"/>
        <n v="8861.5"/>
        <n v="9790.35"/>
        <n v="-39688.5"/>
        <n v="113640.56"/>
        <n v="35571.24"/>
        <n v="24771.1"/>
        <n v="11752.82"/>
        <n v="-34791.12"/>
        <n v="133058.15"/>
        <n v="22085.82"/>
        <n v="8100.7"/>
        <n v="6374.88"/>
        <n v="-30338.95"/>
        <n v="136297.09"/>
        <n v="14776.44"/>
        <n v="7838.94"/>
        <n v="6588.49"/>
        <n v="-22524.14"/>
        <n v="105504.08"/>
        <n v="33052.96"/>
        <n v="18270.59"/>
        <n v="18133.93"/>
        <n v="-20726.87"/>
        <n v="134590.72"/>
        <n v="35594.11"/>
        <n v="35821.28"/>
        <n v="21313.24"/>
        <n v="-29997.96"/>
        <n v="254994.73"/>
        <n v="90579.58"/>
        <n v="43722.45"/>
        <n v="51101.67"/>
        <n v="-3885.74"/>
        <n v="264528.11"/>
        <n v="68865.1"/>
        <n v="78936.26"/>
        <n v="55470.27"/>
        <n v="1161.56"/>
        <n v="230296.14"/>
        <n v="103079.46"/>
        <n v="84625.57"/>
        <n v="67515.86"/>
        <n v="-13032.74"/>
        <n v="158151.47"/>
        <n v="56866.65"/>
        <n v="55863.59"/>
        <n v="47798.27"/>
        <n v="-17292.21"/>
        <n v="203692.93"/>
        <n v="60359.14"/>
        <n v="66636.93"/>
        <n v="46935.53"/>
        <n v="-17647.51"/>
        <n v="209048.81"/>
        <n v="74347.02"/>
        <n v="56926.59"/>
        <n v="64487.28"/>
        <n v="-4555.04"/>
        <n v="199488.88"/>
        <n v="66020.55"/>
        <n v="44265.46"/>
        <n v="48833.6"/>
        <n v="-21488.7"/>
        <n v="223666.56"/>
        <n v="62901.59"/>
        <n v="69230.52"/>
        <n v="45965.4"/>
        <n v="-7993.9"/>
        <n v="216712.19"/>
        <n v="85212.42"/>
        <n v="54263.99"/>
        <n v="42138.9"/>
        <n v="-17714.99"/>
        <n v="244276.31"/>
        <n v="74285.23"/>
        <n v="77445.68"/>
        <n v="69432.89"/>
        <n v="-1648.65"/>
        <n v="231678.52"/>
        <n v="78593.78"/>
        <n v="78271.6"/>
        <n v="52006.4"/>
        <n v="-6161.91"/>
        <n v="229594.23"/>
        <n v="72229.23"/>
        <n v="56113.59"/>
        <n v="76118.28"/>
        <n v="1733.86"/>
        <n v="341472.33"/>
        <n v="105420.41"/>
        <n v="117212.53"/>
        <n v="128397.93"/>
        <n v="30753.69"/>
        <n v="378677.22"/>
        <n v="152589.8"/>
        <n v="98761.69"/>
        <n v="116436.97"/>
        <n v="19710.0"/>
        <n v="389530.67"/>
        <n v="154938.22"/>
        <n v="160366.5"/>
        <n v="101298.97"/>
        <n v="27932.39"/>
        <n v="262421.24"/>
        <n v="102394.66"/>
        <n v="108526.31"/>
        <n v="68960.6"/>
        <n v="-3489.54"/>
        <n v="301233.47"/>
        <n v="93401.02"/>
        <n v="110156.2"/>
        <n v="112999.23"/>
        <n v="1015.0"/>
        <n v="370711.62"/>
        <n v="92752.65"/>
        <n v="125302.55"/>
        <n v="95834.44"/>
        <n v="9.6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Budget vs Actual" cacheId="0" dataCaption="" compact="0" compactData="0">
  <location ref="H4:J10" firstHeaderRow="0" firstDataRow="2" firstDataCol="0" rowPageCount="1" colPageCount="1"/>
  <pivotFields>
    <pivotField name="month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eam_name" axis="axisRow" compact="0" outline="0" multipleItemSelectionAllowed="1" showAll="0" sortType="ascending">
      <items>
        <item x="1"/>
        <item x="3"/>
        <item x="0"/>
        <item x="2"/>
        <item x="4"/>
        <item t="default"/>
      </items>
    </pivotField>
    <pivotField name="budget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ctu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1"/>
  </rowFields>
  <colFields>
    <field x="-2"/>
  </colFields>
  <pageFields>
    <pageField fld="0"/>
  </pageFields>
  <dataFields>
    <dataField name="SUM of budget_amount" fld="2" baseField="0"/>
    <dataField name="SUM of actual_amount" fld="3" baseField="0"/>
  </dataFields>
</pivotTableDefinition>
</file>

<file path=xl/pivotTables/pivotTable2.xml><?xml version="1.0" encoding="utf-8"?>
<pivotTableDefinition xmlns="http://schemas.openxmlformats.org/spreadsheetml/2006/main" name="Budget vs Actual 2" cacheId="0" dataCaption="" createdVersion="6" compact="0" compactData="0">
  <location ref="M2:O15" firstHeaderRow="0" firstDataRow="2" firstDataCol="0"/>
  <pivotFields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eam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dget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ctu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0"/>
  </rowFields>
  <colFields>
    <field x="-2"/>
  </colFields>
  <dataFields>
    <dataField name="SUM of variance_amount" fld="4" baseField="0"/>
    <dataField name="AVERAGE of variance_pct" fld="5" subtotal="average" baseField="0"/>
  </dataFields>
  <filters>
    <filter fld="0" type="captionBetween" evalOrder="-1" id="1" stringValue1="2026-01-01" stringValue2="2026-12-31">
      <autoFilter ref="A1">
        <filterColumn colId="0">
          <customFilters and="1">
            <customFilter operator="greaterThanOrEqual" val="2026-01-01"/>
            <customFilter operator="lessThanOrEqual" val="2026-12-31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Headcount" cacheId="1" dataCaption="" createdVersion="6" compact="0" compactData="0">
  <location ref="F4:G10" firstHeaderRow="0" firstDataRow="1" firstDataCol="0" rowPageCount="2" colPageCount="1"/>
  <pivotFields>
    <pivotField name="month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eam_name" axis="axisRow" compact="0" outline="0" multipleItemSelectionAllowed="1" showAll="0" sortType="ascending">
      <items>
        <item x="1"/>
        <item x="0"/>
        <item x="3"/>
        <item x="2"/>
        <item x="4"/>
        <item t="default"/>
      </items>
    </pivotField>
    <pivotField name="monthly_headcount_cost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</pivotFields>
  <rowFields>
    <field x="1"/>
  </rowFields>
  <pageFields>
    <pageField fld="2"/>
    <pageField fld="0"/>
  </pageFields>
  <dataFields>
    <dataField name="SUM of monthly_headcount_cost" fld="2" baseField="0"/>
  </dataFields>
  <filters>
    <filter fld="0" type="captionBetween" evalOrder="-1" id="2" stringValue1="2026-01-01" stringValue2="2026-12-31">
      <autoFilter ref="A1">
        <filterColumn colId="0">
          <customFilters and="1">
            <customFilter operator="greaterThanOrEqual" val="2026-01-01"/>
            <customFilter operator="lessThanOrEqual" val="2026-12-31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Cloud Costs" cacheId="2" dataCaption="" createdVersion="6" compact="0" compactData="0">
  <location ref="K3:L9" firstHeaderRow="0" firstDataRow="1" firstDataCol="0" rowPageCount="1" colPageCount="1"/>
  <pivotFields>
    <pivotField name="month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eam_name" axis="axisRow" compact="0" outline="0" multipleItemSelectionAllowed="1" showAll="0" sortType="ascending">
      <items>
        <item x="1"/>
        <item x="3"/>
        <item x="0"/>
        <item x="2"/>
        <item x="4"/>
        <item t="default"/>
      </items>
    </pivotField>
    <pivotField name="budget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ctu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1"/>
  </rowFields>
  <pageFields>
    <pageField fld="0"/>
  </pageFields>
  <dataFields>
    <dataField name="TOTAL_actual_amount_2026" fld="3" baseField="0"/>
  </dataFields>
  <filters>
    <filter fld="0" type="captionBetween" evalOrder="-1" id="1" stringValue1="2026-01-01" stringValue2="2026-12-31">
      <autoFilter ref="A1">
        <filterColumn colId="0">
          <customFilters and="1">
            <customFilter operator="greaterThanOrEqual" val="2026-01-01"/>
            <customFilter operator="lessThanOrEqual" val="2026-12-31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Cloud Costs 2" cacheId="3" dataCaption="" createdVersion="6" compact="0" compactData="0">
  <location ref="P1:Q26" firstHeaderRow="0" firstDataRow="1" firstDataCol="0"/>
  <pivotFields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eam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dget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ctu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varianc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0"/>
  </rowFields>
  <dataFields>
    <dataField name="TOTAL_actual_amount_ALL_DATA" fld="3" baseField="0"/>
  </dataFields>
  <filters>
    <filter fld="0" type="captionBetween" evalOrder="-1" id="1" stringValue1="2025-01-01" stringValue2="2026-12-31">
      <autoFilter ref="A1">
        <filterColumn colId="0">
          <customFilters and="1">
            <customFilter operator="greaterThanOrEqual" val="2025-01-01"/>
            <customFilter operator="lessThanOrEqual" val="2026-12-31"/>
          </customFilters>
        </filterColumn>
      </autoFilter>
    </filter>
  </filters>
</pivotTableDefinition>
</file>

<file path=xl/tables/table1.xml><?xml version="1.0" encoding="utf-8"?>
<table xmlns="http://schemas.openxmlformats.org/spreadsheetml/2006/main" headerRowCount="0" ref="D2:D6" displayName="Table_1" name="Table_1" id="1">
  <tableColumns count="1">
    <tableColumn name="Column1" id="1"/>
  </tableColumns>
  <tableStyleInfo name="Actuals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6" displayName="Table_2" name="Table_2" id="2">
  <tableColumns count="1">
    <tableColumn name="Column1" id="1"/>
  </tableColumns>
  <tableStyleInfo name="Actuals-style 2" showColumnStripes="0" showFirstColumn="1" showLastColumn="1" showRowStripes="1"/>
</table>
</file>

<file path=xl/tables/table3.xml><?xml version="1.0" encoding="utf-8"?>
<table xmlns="http://schemas.openxmlformats.org/spreadsheetml/2006/main" ref="A1:F11" displayName="Team_Operational_Expenses" name="Team_Operational_Expenses" id="3">
  <autoFilter ref="$A$1:$F$11">
    <filterColumn colId="0">
      <filters>
        <filter val="2026"/>
      </filters>
    </filterColumn>
  </autoFilter>
  <tableColumns count="6">
    <tableColumn name="year" id="1"/>
    <tableColumn name="team_name" id="2"/>
    <tableColumn name="headcount_cost" id="3"/>
    <tableColumn name="cloud_cost" id="4"/>
    <tableColumn name="vendor_cost" id="5"/>
    <tableColumn name="total_opex" id="6"/>
  </tableColumns>
  <tableStyleInfo name="annual_team_op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0.0"/>
    <col customWidth="1" min="4" max="4" width="23.5"/>
    <col customWidth="1" min="6" max="6" width="22.0"/>
  </cols>
  <sheetData>
    <row r="2">
      <c r="A2" s="1" t="s">
        <v>0</v>
      </c>
      <c r="B2" s="1" t="s">
        <v>1</v>
      </c>
    </row>
    <row r="3">
      <c r="B3" s="1" t="s">
        <v>2</v>
      </c>
    </row>
    <row r="9">
      <c r="B9" s="2" t="s">
        <v>3</v>
      </c>
    </row>
    <row r="13">
      <c r="F13" s="3" t="s">
        <v>4</v>
      </c>
    </row>
  </sheetData>
  <mergeCells count="3">
    <mergeCell ref="B3:D6"/>
    <mergeCell ref="B9:D12"/>
    <mergeCell ref="F13:F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0"/>
    <col customWidth="1" min="3" max="3" width="10.38"/>
    <col customWidth="1" min="4" max="4" width="9.88"/>
    <col customWidth="1" min="5" max="5" width="15.5"/>
  </cols>
  <sheetData>
    <row r="1">
      <c r="A1" s="4" t="s">
        <v>5</v>
      </c>
      <c r="B1" s="4" t="s">
        <v>14</v>
      </c>
      <c r="C1" s="4" t="s">
        <v>15</v>
      </c>
      <c r="D1" s="4" t="s">
        <v>16</v>
      </c>
      <c r="E1" s="4" t="s">
        <v>17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45658.0</v>
      </c>
      <c r="B2" s="6">
        <v>5897125.0</v>
      </c>
      <c r="C2" s="6">
        <v>1364376.79</v>
      </c>
      <c r="D2" s="10">
        <v>742749.51</v>
      </c>
      <c r="E2" s="10">
        <v>8004251.3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45689.0</v>
      </c>
      <c r="B3" s="6">
        <v>5754125.0</v>
      </c>
      <c r="C3" s="6">
        <v>1430744.6</v>
      </c>
      <c r="D3" s="10">
        <v>751255.91</v>
      </c>
      <c r="E3" s="10">
        <v>7936125.51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45717.0</v>
      </c>
      <c r="B4" s="6">
        <v>5751416.6666658</v>
      </c>
      <c r="C4" s="6">
        <v>1419080.6</v>
      </c>
      <c r="D4" s="10">
        <v>745333.25</v>
      </c>
      <c r="E4" s="10">
        <v>7915830.5166658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45748.0</v>
      </c>
      <c r="B5" s="6">
        <v>5786083.3333329</v>
      </c>
      <c r="C5" s="6">
        <v>1422776.82</v>
      </c>
      <c r="D5" s="10">
        <v>741279.83</v>
      </c>
      <c r="E5" s="10">
        <v>7950139.9833329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45778.0</v>
      </c>
      <c r="B6" s="6">
        <v>5854874.9999974</v>
      </c>
      <c r="C6" s="6">
        <v>1434034.69</v>
      </c>
      <c r="D6" s="10">
        <v>748253.18</v>
      </c>
      <c r="E6" s="10">
        <v>8037162.8699974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45809.0</v>
      </c>
      <c r="B7" s="6">
        <v>5712416.6666671</v>
      </c>
      <c r="C7" s="6">
        <v>1477121.39</v>
      </c>
      <c r="D7" s="6">
        <v>747775.17</v>
      </c>
      <c r="E7" s="6">
        <v>7937313.2266671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>
        <v>45839.0</v>
      </c>
      <c r="B8" s="6">
        <v>6017916.6666671</v>
      </c>
      <c r="C8" s="6">
        <v>1716312.69</v>
      </c>
      <c r="D8" s="6">
        <v>749193.57</v>
      </c>
      <c r="E8" s="6">
        <v>8483422.9266671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>
        <v>45870.0</v>
      </c>
      <c r="B9" s="6">
        <v>6122458.3333329</v>
      </c>
      <c r="C9" s="6">
        <v>1748761.3</v>
      </c>
      <c r="D9" s="6">
        <v>737703.4</v>
      </c>
      <c r="E9" s="6">
        <v>8608923.0333329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>
        <v>45901.0</v>
      </c>
      <c r="B10" s="6">
        <v>6236208.3333342</v>
      </c>
      <c r="C10" s="6">
        <v>1752284.29</v>
      </c>
      <c r="D10" s="6">
        <v>749637.44</v>
      </c>
      <c r="E10" s="6">
        <v>8738130.0633342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>
        <v>45931.0</v>
      </c>
      <c r="B11" s="6">
        <v>6148458.3333329</v>
      </c>
      <c r="C11" s="6">
        <v>1581187.77</v>
      </c>
      <c r="D11" s="6">
        <v>741272.87</v>
      </c>
      <c r="E11" s="6">
        <v>8470918.9733329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>
        <v>45962.0</v>
      </c>
      <c r="B12" s="6">
        <v>5981083.3333342</v>
      </c>
      <c r="C12" s="6">
        <v>1639777.02</v>
      </c>
      <c r="D12" s="6">
        <v>749932.17</v>
      </c>
      <c r="E12" s="6">
        <v>8370792.5233342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>
        <v>45992.0</v>
      </c>
      <c r="B13" s="6">
        <v>6034166.6666671</v>
      </c>
      <c r="C13" s="6">
        <v>1680054.66</v>
      </c>
      <c r="D13" s="6">
        <v>741669.01</v>
      </c>
      <c r="E13" s="6">
        <v>8455890.3366671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>
        <v>46023.0</v>
      </c>
      <c r="B14" s="6">
        <v>6619681.25</v>
      </c>
      <c r="C14" s="6">
        <v>1693707.79</v>
      </c>
      <c r="D14" s="6">
        <v>799897.02</v>
      </c>
      <c r="E14" s="6">
        <v>9113286.06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>
        <v>46054.0</v>
      </c>
      <c r="B15" s="6">
        <v>6641997.9166684</v>
      </c>
      <c r="C15" s="6">
        <v>1750358.17</v>
      </c>
      <c r="D15" s="6">
        <v>792434.56</v>
      </c>
      <c r="E15" s="6">
        <v>9184790.6466684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>
        <v>46082.0</v>
      </c>
      <c r="B16" s="6">
        <v>6561100.0000013</v>
      </c>
      <c r="C16" s="6">
        <v>1737200.51</v>
      </c>
      <c r="D16" s="6">
        <v>808150.22</v>
      </c>
      <c r="E16" s="6">
        <v>9106450.7300013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>
        <v>46113.0</v>
      </c>
      <c r="B17" s="6">
        <v>6620239.1666658</v>
      </c>
      <c r="C17" s="6">
        <v>1820379.46</v>
      </c>
      <c r="D17" s="6">
        <v>798954.09</v>
      </c>
      <c r="E17" s="6">
        <v>9239572.7166658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>
        <v>46143.0</v>
      </c>
      <c r="B18" s="6">
        <v>6543246.6666684</v>
      </c>
      <c r="C18" s="6">
        <v>1790976.39</v>
      </c>
      <c r="D18" s="6">
        <v>795749.69</v>
      </c>
      <c r="E18" s="6">
        <v>9129972.7466684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>
        <v>46174.0</v>
      </c>
      <c r="B19" s="6">
        <v>6633629.1666684</v>
      </c>
      <c r="C19" s="6">
        <v>1792377.19</v>
      </c>
      <c r="D19" s="6">
        <v>803356.9</v>
      </c>
      <c r="E19" s="6">
        <v>9229363.2566684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>
        <v>46204.0</v>
      </c>
      <c r="B20" s="6">
        <v>6968937.0833316</v>
      </c>
      <c r="C20" s="6">
        <v>2079844.89</v>
      </c>
      <c r="D20" s="6">
        <v>812252.49</v>
      </c>
      <c r="E20" s="6">
        <v>9861034.4633316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>
        <v>46235.0</v>
      </c>
      <c r="B21" s="6">
        <v>7044813.7499987</v>
      </c>
      <c r="C21" s="6">
        <v>2122763.68</v>
      </c>
      <c r="D21" s="6">
        <v>800209.65</v>
      </c>
      <c r="E21" s="6">
        <v>9967787.0799987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>
        <v>46266.0</v>
      </c>
      <c r="B22" s="6">
        <v>7050950.8333342</v>
      </c>
      <c r="C22" s="6">
        <v>2190654.75</v>
      </c>
      <c r="D22" s="6">
        <v>795934.59</v>
      </c>
      <c r="E22" s="6">
        <v>1.00375401733342E7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>
        <v>46296.0</v>
      </c>
      <c r="B23" s="6">
        <v>6970052.9166658</v>
      </c>
      <c r="C23" s="6">
        <v>1895401.27</v>
      </c>
      <c r="D23" s="6">
        <v>805243.5</v>
      </c>
      <c r="E23" s="6">
        <v>9670697.6866658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>
        <v>46327.0</v>
      </c>
      <c r="B24" s="6">
        <v>7001296.25</v>
      </c>
      <c r="C24" s="6">
        <v>1975392.92</v>
      </c>
      <c r="D24" s="6">
        <v>802190.37</v>
      </c>
      <c r="E24" s="6">
        <v>9778879.54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>
        <v>46357.0</v>
      </c>
      <c r="B25" s="6">
        <v>7029192.0833329</v>
      </c>
      <c r="C25" s="6">
        <v>2041198.88</v>
      </c>
      <c r="D25" s="6">
        <v>798953.4</v>
      </c>
      <c r="E25" s="6">
        <v>9869344.3633329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/>
      <c r="B26" s="6"/>
      <c r="C26" s="6"/>
      <c r="D26" s="12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/>
      <c r="B27" s="6"/>
      <c r="C27" s="6"/>
      <c r="D27" s="12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/>
      <c r="B28" s="6"/>
      <c r="C28" s="6"/>
      <c r="D28" s="12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/>
      <c r="B29" s="6"/>
      <c r="C29" s="6"/>
      <c r="D29" s="1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25</v>
      </c>
      <c r="B30" s="6"/>
      <c r="C30" s="6"/>
      <c r="D30" s="12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/>
      <c r="B31" s="6"/>
      <c r="C31" s="6"/>
      <c r="D31" s="1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/>
      <c r="B32" s="6"/>
      <c r="C32" s="6"/>
      <c r="D32" s="1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/>
      <c r="B33" s="6"/>
      <c r="C33" s="6"/>
      <c r="D33" s="1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/>
      <c r="B34" s="6"/>
      <c r="C34" s="6"/>
      <c r="D34" s="12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/>
      <c r="B35" s="6"/>
      <c r="C35" s="6"/>
      <c r="D35" s="1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/>
      <c r="B36" s="6"/>
      <c r="C36" s="6"/>
      <c r="D36" s="1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/>
      <c r="B37" s="6"/>
      <c r="C37" s="6"/>
      <c r="D37" s="12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/>
      <c r="B38" s="6"/>
      <c r="C38" s="6"/>
      <c r="D38" s="1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/>
      <c r="B39" s="6"/>
      <c r="C39" s="6"/>
      <c r="D39" s="12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/>
      <c r="B40" s="6"/>
      <c r="C40" s="6"/>
      <c r="D40" s="1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/>
      <c r="B41" s="6"/>
      <c r="C41" s="6"/>
      <c r="D41" s="1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/>
      <c r="B42" s="6"/>
      <c r="C42" s="6"/>
      <c r="D42" s="1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/>
      <c r="B43" s="6"/>
      <c r="C43" s="6"/>
      <c r="D43" s="1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/>
      <c r="B44" s="6"/>
      <c r="C44" s="6"/>
      <c r="D44" s="12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/>
      <c r="B45" s="6"/>
      <c r="C45" s="6"/>
      <c r="D45" s="12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/>
      <c r="B46" s="6"/>
      <c r="C46" s="6"/>
      <c r="D46" s="12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/>
      <c r="B47" s="6"/>
      <c r="C47" s="6"/>
      <c r="D47" s="12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/>
      <c r="B48" s="6"/>
      <c r="C48" s="6"/>
      <c r="D48" s="12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/>
      <c r="B49" s="6"/>
      <c r="C49" s="6"/>
      <c r="D49" s="12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/>
      <c r="B50" s="6"/>
      <c r="C50" s="6"/>
      <c r="D50" s="12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/>
      <c r="B51" s="6"/>
      <c r="C51" s="6"/>
      <c r="D51" s="12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/>
      <c r="B52" s="6"/>
      <c r="C52" s="6"/>
      <c r="D52" s="12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/>
      <c r="B53" s="6"/>
      <c r="C53" s="6"/>
      <c r="D53" s="12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/>
      <c r="B54" s="6"/>
      <c r="C54" s="6"/>
      <c r="D54" s="12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/>
      <c r="B55" s="6"/>
      <c r="C55" s="6"/>
      <c r="D55" s="12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"/>
      <c r="B56" s="6"/>
      <c r="C56" s="6"/>
      <c r="D56" s="12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"/>
      <c r="B57" s="6"/>
      <c r="C57" s="6"/>
      <c r="D57" s="12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"/>
      <c r="B58" s="6"/>
      <c r="C58" s="6"/>
      <c r="D58" s="12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/>
      <c r="B59" s="6"/>
      <c r="C59" s="6"/>
      <c r="D59" s="12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/>
      <c r="B60" s="6"/>
      <c r="C60" s="6"/>
      <c r="D60" s="12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"/>
      <c r="B61" s="6"/>
      <c r="C61" s="6"/>
      <c r="D61" s="12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"/>
      <c r="B62" s="6"/>
      <c r="C62" s="6"/>
      <c r="D62" s="12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"/>
      <c r="B63" s="6"/>
      <c r="C63" s="6"/>
      <c r="D63" s="12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"/>
      <c r="B64" s="6"/>
      <c r="C64" s="6"/>
      <c r="D64" s="12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"/>
      <c r="B65" s="6"/>
      <c r="C65" s="6"/>
      <c r="D65" s="12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/>
      <c r="B66" s="6"/>
      <c r="C66" s="6"/>
      <c r="D66" s="12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/>
      <c r="B67" s="6"/>
      <c r="C67" s="6"/>
      <c r="D67" s="1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/>
      <c r="B68" s="6"/>
      <c r="C68" s="6"/>
      <c r="D68" s="12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/>
      <c r="B69" s="6"/>
      <c r="C69" s="6"/>
      <c r="D69" s="12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"/>
      <c r="B70" s="6"/>
      <c r="C70" s="6"/>
      <c r="D70" s="12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"/>
      <c r="B71" s="6"/>
      <c r="C71" s="6"/>
      <c r="D71" s="12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"/>
      <c r="B72" s="6"/>
      <c r="C72" s="6"/>
      <c r="D72" s="12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"/>
      <c r="B73" s="6"/>
      <c r="C73" s="6"/>
      <c r="D73" s="12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"/>
      <c r="B74" s="6"/>
      <c r="C74" s="6"/>
      <c r="D74" s="12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5"/>
      <c r="B75" s="6"/>
      <c r="C75" s="6"/>
      <c r="D75" s="12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5"/>
      <c r="B76" s="6"/>
      <c r="C76" s="6"/>
      <c r="D76" s="12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5"/>
      <c r="B77" s="6"/>
      <c r="C77" s="6"/>
      <c r="D77" s="12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/>
      <c r="B78" s="6"/>
      <c r="C78" s="6"/>
      <c r="D78" s="12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/>
      <c r="B79" s="6"/>
      <c r="C79" s="6"/>
      <c r="D79" s="12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/>
      <c r="B80" s="6"/>
      <c r="C80" s="6"/>
      <c r="D80" s="12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"/>
      <c r="B81" s="6"/>
      <c r="C81" s="6"/>
      <c r="D81" s="12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5"/>
      <c r="B82" s="6"/>
      <c r="C82" s="6"/>
      <c r="D82" s="1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/>
      <c r="B83" s="6"/>
      <c r="C83" s="6"/>
      <c r="D83" s="12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/>
      <c r="B84" s="6"/>
      <c r="C84" s="6"/>
      <c r="D84" s="12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/>
      <c r="B85" s="6"/>
      <c r="C85" s="6"/>
      <c r="D85" s="12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/>
      <c r="B86" s="6"/>
      <c r="C86" s="6"/>
      <c r="D86" s="12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/>
      <c r="B87" s="6"/>
      <c r="C87" s="6"/>
      <c r="D87" s="12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"/>
      <c r="B88" s="6"/>
      <c r="C88" s="6"/>
      <c r="D88" s="12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5"/>
      <c r="B89" s="6"/>
      <c r="C89" s="6"/>
      <c r="D89" s="12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5"/>
      <c r="B90" s="6"/>
      <c r="C90" s="6"/>
      <c r="D90" s="12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5"/>
      <c r="B91" s="6"/>
      <c r="C91" s="6"/>
      <c r="D91" s="12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5"/>
      <c r="B92" s="6"/>
      <c r="C92" s="6"/>
      <c r="D92" s="12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5"/>
      <c r="B93" s="6"/>
      <c r="C93" s="6"/>
      <c r="D93" s="12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5"/>
      <c r="B94" s="6"/>
      <c r="C94" s="6"/>
      <c r="D94" s="12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5"/>
      <c r="B95" s="6"/>
      <c r="C95" s="6"/>
      <c r="D95" s="12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5"/>
      <c r="B96" s="6"/>
      <c r="C96" s="6"/>
      <c r="D96" s="12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/>
      <c r="B97" s="6"/>
      <c r="C97" s="6"/>
      <c r="D97" s="1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/>
      <c r="B98" s="6"/>
      <c r="C98" s="6"/>
      <c r="D98" s="12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/>
      <c r="B99" s="6"/>
      <c r="C99" s="6"/>
      <c r="D99" s="12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/>
      <c r="B100" s="6"/>
      <c r="C100" s="6"/>
      <c r="D100" s="12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/>
      <c r="B101" s="6"/>
      <c r="C101" s="6"/>
      <c r="D101" s="12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5"/>
      <c r="B102" s="6"/>
      <c r="C102" s="6"/>
      <c r="D102" s="12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5"/>
      <c r="B103" s="6"/>
      <c r="C103" s="6"/>
      <c r="D103" s="12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5"/>
      <c r="B104" s="6"/>
      <c r="C104" s="6"/>
      <c r="D104" s="12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5"/>
      <c r="B105" s="6"/>
      <c r="C105" s="6"/>
      <c r="D105" s="12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5"/>
      <c r="B106" s="6"/>
      <c r="C106" s="6"/>
      <c r="D106" s="12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5"/>
      <c r="B107" s="6"/>
      <c r="C107" s="6"/>
      <c r="D107" s="12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5"/>
      <c r="B108" s="6"/>
      <c r="C108" s="6"/>
      <c r="D108" s="12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/>
      <c r="B109" s="6"/>
      <c r="C109" s="6"/>
      <c r="D109" s="12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/>
      <c r="B110" s="6"/>
      <c r="C110" s="6"/>
      <c r="D110" s="12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/>
      <c r="B111" s="6"/>
      <c r="C111" s="6"/>
      <c r="D111" s="12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5"/>
      <c r="B112" s="6"/>
      <c r="C112" s="6"/>
      <c r="D112" s="12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5"/>
      <c r="B113" s="6"/>
      <c r="C113" s="6"/>
      <c r="D113" s="12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5"/>
      <c r="B114" s="6"/>
      <c r="C114" s="6"/>
      <c r="D114" s="12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/>
      <c r="B115" s="6"/>
      <c r="C115" s="6"/>
      <c r="D115" s="12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/>
      <c r="B116" s="6"/>
      <c r="C116" s="6"/>
      <c r="D116" s="12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/>
      <c r="B117" s="6"/>
      <c r="C117" s="6"/>
      <c r="D117" s="12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/>
      <c r="B118" s="6"/>
      <c r="C118" s="6"/>
      <c r="D118" s="12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5"/>
      <c r="B119" s="6"/>
      <c r="C119" s="6"/>
      <c r="D119" s="12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5"/>
      <c r="B120" s="6"/>
      <c r="C120" s="6"/>
      <c r="D120" s="12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5"/>
      <c r="B121" s="6"/>
      <c r="C121" s="6"/>
      <c r="D121" s="12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75"/>
    <col customWidth="1" min="9" max="9" width="18.63"/>
    <col customWidth="1" min="10" max="10" width="18.0"/>
    <col customWidth="1" min="13" max="13" width="10.25"/>
    <col customWidth="1" min="14" max="14" width="19.75"/>
    <col customWidth="1" min="15" max="15" width="20.75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>
      <c r="A2" s="5">
        <v>45658.0</v>
      </c>
      <c r="B2" s="6" t="s">
        <v>11</v>
      </c>
      <c r="C2" s="6">
        <v>469800.0</v>
      </c>
      <c r="D2" s="6">
        <v>556733.14</v>
      </c>
      <c r="E2" s="6">
        <v>86933.14</v>
      </c>
      <c r="F2" s="6">
        <v>18.5043</v>
      </c>
    </row>
    <row r="3">
      <c r="A3" s="5">
        <v>45658.0</v>
      </c>
      <c r="B3" s="6" t="s">
        <v>20</v>
      </c>
      <c r="C3" s="6">
        <v>252000.0</v>
      </c>
      <c r="D3" s="6">
        <v>270680.3</v>
      </c>
      <c r="E3" s="6">
        <v>18680.3</v>
      </c>
      <c r="F3" s="6">
        <v>7.4128</v>
      </c>
    </row>
    <row r="4">
      <c r="A4" s="5">
        <v>45658.0</v>
      </c>
      <c r="B4" s="6" t="s">
        <v>21</v>
      </c>
      <c r="C4" s="6">
        <v>180000.0</v>
      </c>
      <c r="D4" s="6">
        <v>188861.5</v>
      </c>
      <c r="E4" s="6">
        <v>8861.5</v>
      </c>
      <c r="F4" s="6">
        <v>4.9231</v>
      </c>
    </row>
    <row r="5">
      <c r="A5" s="5">
        <v>45658.0</v>
      </c>
      <c r="B5" s="6" t="s">
        <v>22</v>
      </c>
      <c r="C5" s="6">
        <v>216000.0</v>
      </c>
      <c r="D5" s="6">
        <v>225790.35</v>
      </c>
      <c r="E5" s="6">
        <v>9790.35</v>
      </c>
      <c r="F5" s="6">
        <v>4.5326</v>
      </c>
    </row>
    <row r="6">
      <c r="A6" s="5">
        <v>45658.0</v>
      </c>
      <c r="B6" s="6" t="s">
        <v>23</v>
      </c>
      <c r="C6" s="6">
        <v>162000.0</v>
      </c>
      <c r="D6" s="6">
        <v>122311.5</v>
      </c>
      <c r="E6" s="6">
        <v>-39688.5</v>
      </c>
      <c r="F6" s="6">
        <v>-24.4991</v>
      </c>
    </row>
    <row r="7">
      <c r="A7" s="5">
        <v>45689.0</v>
      </c>
      <c r="B7" s="6" t="s">
        <v>11</v>
      </c>
      <c r="C7" s="6">
        <v>469800.0</v>
      </c>
      <c r="D7" s="6">
        <v>583440.56</v>
      </c>
      <c r="E7" s="6">
        <v>113640.56</v>
      </c>
      <c r="F7" s="6">
        <v>24.1891</v>
      </c>
    </row>
    <row r="8">
      <c r="A8" s="5">
        <v>45689.0</v>
      </c>
      <c r="B8" s="6" t="s">
        <v>20</v>
      </c>
      <c r="C8" s="6">
        <v>252000.0</v>
      </c>
      <c r="D8" s="6">
        <v>287571.24</v>
      </c>
      <c r="E8" s="6">
        <v>35571.24</v>
      </c>
      <c r="F8" s="6">
        <v>14.1156</v>
      </c>
    </row>
    <row r="9">
      <c r="A9" s="5">
        <v>45689.0</v>
      </c>
      <c r="B9" s="6" t="s">
        <v>22</v>
      </c>
      <c r="C9" s="6">
        <v>216000.0</v>
      </c>
      <c r="D9" s="6">
        <v>240771.1</v>
      </c>
      <c r="E9" s="6">
        <v>24771.1</v>
      </c>
      <c r="F9" s="6">
        <v>11.4681</v>
      </c>
    </row>
    <row r="10">
      <c r="A10" s="5">
        <v>45689.0</v>
      </c>
      <c r="B10" s="6" t="s">
        <v>21</v>
      </c>
      <c r="C10" s="6">
        <v>180000.0</v>
      </c>
      <c r="D10" s="6">
        <v>191752.82</v>
      </c>
      <c r="E10" s="6">
        <v>11752.82</v>
      </c>
      <c r="F10" s="6">
        <v>6.5293</v>
      </c>
    </row>
    <row r="11">
      <c r="A11" s="5">
        <v>45689.0</v>
      </c>
      <c r="B11" s="6" t="s">
        <v>23</v>
      </c>
      <c r="C11" s="6">
        <v>162000.0</v>
      </c>
      <c r="D11" s="6">
        <v>127208.88</v>
      </c>
      <c r="E11" s="6">
        <v>-34791.12</v>
      </c>
      <c r="F11" s="6">
        <v>-21.476</v>
      </c>
    </row>
    <row r="12">
      <c r="A12" s="5">
        <v>45717.0</v>
      </c>
      <c r="B12" s="6" t="s">
        <v>11</v>
      </c>
      <c r="C12" s="6">
        <v>469800.0</v>
      </c>
      <c r="D12" s="6">
        <v>602858.15</v>
      </c>
      <c r="E12" s="6">
        <v>133058.15</v>
      </c>
      <c r="F12" s="6">
        <v>28.3223</v>
      </c>
    </row>
    <row r="13">
      <c r="A13" s="5">
        <v>45717.0</v>
      </c>
      <c r="B13" s="6" t="s">
        <v>22</v>
      </c>
      <c r="C13" s="6">
        <v>216000.0</v>
      </c>
      <c r="D13" s="6">
        <v>238085.82</v>
      </c>
      <c r="E13" s="6">
        <v>22085.82</v>
      </c>
      <c r="F13" s="6">
        <v>10.2249</v>
      </c>
    </row>
    <row r="14">
      <c r="A14" s="5">
        <v>45717.0</v>
      </c>
      <c r="B14" s="6" t="s">
        <v>21</v>
      </c>
      <c r="C14" s="6">
        <v>180000.0</v>
      </c>
      <c r="D14" s="6">
        <v>188100.7</v>
      </c>
      <c r="E14" s="6">
        <v>8100.7</v>
      </c>
      <c r="F14" s="6">
        <v>4.5004</v>
      </c>
    </row>
    <row r="15">
      <c r="A15" s="5">
        <v>45717.0</v>
      </c>
      <c r="B15" s="6" t="s">
        <v>20</v>
      </c>
      <c r="C15" s="6">
        <v>252000.0</v>
      </c>
      <c r="D15" s="6">
        <v>258374.88</v>
      </c>
      <c r="E15" s="6">
        <v>6374.88</v>
      </c>
      <c r="F15" s="6">
        <v>2.5297</v>
      </c>
    </row>
    <row r="16">
      <c r="A16" s="5">
        <v>45717.0</v>
      </c>
      <c r="B16" s="6" t="s">
        <v>23</v>
      </c>
      <c r="C16" s="6">
        <v>162000.0</v>
      </c>
      <c r="D16" s="6">
        <v>131661.05</v>
      </c>
      <c r="E16" s="6">
        <v>-30338.95</v>
      </c>
      <c r="F16" s="6">
        <v>-18.7277</v>
      </c>
    </row>
    <row r="17">
      <c r="A17" s="5">
        <v>45748.0</v>
      </c>
      <c r="B17" s="6" t="s">
        <v>11</v>
      </c>
      <c r="C17" s="6">
        <v>469800.0</v>
      </c>
      <c r="D17" s="6">
        <v>606097.09</v>
      </c>
      <c r="E17" s="6">
        <v>136297.09</v>
      </c>
      <c r="F17" s="6">
        <v>29.0117</v>
      </c>
    </row>
    <row r="18">
      <c r="A18" s="5">
        <v>45748.0</v>
      </c>
      <c r="B18" s="6" t="s">
        <v>20</v>
      </c>
      <c r="C18" s="6">
        <v>252000.0</v>
      </c>
      <c r="D18" s="6">
        <v>266776.44</v>
      </c>
      <c r="E18" s="6">
        <v>14776.44</v>
      </c>
      <c r="F18" s="6">
        <v>5.8637</v>
      </c>
    </row>
    <row r="19">
      <c r="A19" s="5">
        <v>45748.0</v>
      </c>
      <c r="B19" s="6" t="s">
        <v>21</v>
      </c>
      <c r="C19" s="6">
        <v>180000.0</v>
      </c>
      <c r="D19" s="6">
        <v>187838.94</v>
      </c>
      <c r="E19" s="6">
        <v>7838.94</v>
      </c>
      <c r="F19" s="6">
        <v>4.355</v>
      </c>
    </row>
    <row r="20">
      <c r="A20" s="5">
        <v>45748.0</v>
      </c>
      <c r="B20" s="6" t="s">
        <v>22</v>
      </c>
      <c r="C20" s="6">
        <v>216000.0</v>
      </c>
      <c r="D20" s="6">
        <v>222588.49</v>
      </c>
      <c r="E20" s="6">
        <v>6588.49</v>
      </c>
      <c r="F20" s="6">
        <v>3.0502</v>
      </c>
    </row>
    <row r="21">
      <c r="A21" s="5">
        <v>45748.0</v>
      </c>
      <c r="B21" s="6" t="s">
        <v>23</v>
      </c>
      <c r="C21" s="6">
        <v>162000.0</v>
      </c>
      <c r="D21" s="6">
        <v>139475.86</v>
      </c>
      <c r="E21" s="6">
        <v>-22524.14</v>
      </c>
      <c r="F21" s="6">
        <v>-13.9038</v>
      </c>
    </row>
    <row r="22">
      <c r="A22" s="5">
        <v>45778.0</v>
      </c>
      <c r="B22" s="6" t="s">
        <v>11</v>
      </c>
      <c r="C22" s="6">
        <v>469800.0</v>
      </c>
      <c r="D22" s="6">
        <v>575304.08</v>
      </c>
      <c r="E22" s="6">
        <v>105504.08</v>
      </c>
      <c r="F22" s="6">
        <v>22.4572</v>
      </c>
    </row>
    <row r="23">
      <c r="A23" s="5">
        <v>45778.0</v>
      </c>
      <c r="B23" s="6" t="s">
        <v>20</v>
      </c>
      <c r="C23" s="6">
        <v>252000.0</v>
      </c>
      <c r="D23" s="6">
        <v>285052.96</v>
      </c>
      <c r="E23" s="6">
        <v>33052.96</v>
      </c>
      <c r="F23" s="6">
        <v>13.1163</v>
      </c>
    </row>
    <row r="24">
      <c r="A24" s="5">
        <v>45778.0</v>
      </c>
      <c r="B24" s="6" t="s">
        <v>21</v>
      </c>
      <c r="C24" s="6">
        <v>180000.0</v>
      </c>
      <c r="D24" s="6">
        <v>198270.59</v>
      </c>
      <c r="E24" s="6">
        <v>18270.59</v>
      </c>
      <c r="F24" s="6">
        <v>10.1503</v>
      </c>
    </row>
    <row r="25">
      <c r="A25" s="5">
        <v>45778.0</v>
      </c>
      <c r="B25" s="6" t="s">
        <v>22</v>
      </c>
      <c r="C25" s="6">
        <v>216000.0</v>
      </c>
      <c r="D25" s="6">
        <v>234133.93</v>
      </c>
      <c r="E25" s="6">
        <v>18133.93</v>
      </c>
      <c r="F25" s="6">
        <v>8.3953</v>
      </c>
    </row>
    <row r="26">
      <c r="A26" s="5">
        <v>45778.0</v>
      </c>
      <c r="B26" s="6" t="s">
        <v>23</v>
      </c>
      <c r="C26" s="6">
        <v>162000.0</v>
      </c>
      <c r="D26" s="6">
        <v>141273.13</v>
      </c>
      <c r="E26" s="6">
        <v>-20726.87</v>
      </c>
      <c r="F26" s="6">
        <v>-12.7944</v>
      </c>
    </row>
    <row r="27">
      <c r="A27" s="5">
        <v>45809.0</v>
      </c>
      <c r="B27" s="6" t="s">
        <v>11</v>
      </c>
      <c r="C27" s="6">
        <v>469800.0</v>
      </c>
      <c r="D27" s="6">
        <v>604390.72</v>
      </c>
      <c r="E27" s="6">
        <v>134590.72</v>
      </c>
      <c r="F27" s="6">
        <v>28.6485</v>
      </c>
    </row>
    <row r="28">
      <c r="A28" s="5">
        <v>45809.0</v>
      </c>
      <c r="B28" s="6" t="s">
        <v>22</v>
      </c>
      <c r="C28" s="6">
        <v>216000.0</v>
      </c>
      <c r="D28" s="6">
        <v>251594.11</v>
      </c>
      <c r="E28" s="6">
        <v>35594.11</v>
      </c>
      <c r="F28" s="6">
        <v>16.4788</v>
      </c>
    </row>
    <row r="29">
      <c r="A29" s="5">
        <v>45809.0</v>
      </c>
      <c r="B29" s="6" t="s">
        <v>20</v>
      </c>
      <c r="C29" s="6">
        <v>252000.0</v>
      </c>
      <c r="D29" s="6">
        <v>287821.28</v>
      </c>
      <c r="E29" s="6">
        <v>35821.28</v>
      </c>
      <c r="F29" s="6">
        <v>14.2148</v>
      </c>
    </row>
    <row r="30">
      <c r="A30" s="5">
        <v>45809.0</v>
      </c>
      <c r="B30" s="6" t="s">
        <v>21</v>
      </c>
      <c r="C30" s="6">
        <v>180000.0</v>
      </c>
      <c r="D30" s="6">
        <v>201313.24</v>
      </c>
      <c r="E30" s="6">
        <v>21313.24</v>
      </c>
      <c r="F30" s="6">
        <v>11.8407</v>
      </c>
    </row>
    <row r="31">
      <c r="A31" s="5">
        <v>45809.0</v>
      </c>
      <c r="B31" s="6" t="s">
        <v>23</v>
      </c>
      <c r="C31" s="6">
        <v>162000.0</v>
      </c>
      <c r="D31" s="6">
        <v>132002.04</v>
      </c>
      <c r="E31" s="6">
        <v>-29997.96</v>
      </c>
      <c r="F31" s="6">
        <v>-18.5173</v>
      </c>
    </row>
    <row r="32">
      <c r="A32" s="5">
        <v>45839.0</v>
      </c>
      <c r="B32" s="6" t="s">
        <v>11</v>
      </c>
      <c r="C32" s="6">
        <v>469800.0</v>
      </c>
      <c r="D32" s="6">
        <v>724794.73</v>
      </c>
      <c r="E32" s="6">
        <v>254994.73</v>
      </c>
      <c r="F32" s="6">
        <v>54.2773</v>
      </c>
    </row>
    <row r="33">
      <c r="A33" s="5">
        <v>45839.0</v>
      </c>
      <c r="B33" s="6" t="s">
        <v>20</v>
      </c>
      <c r="C33" s="6">
        <v>252000.0</v>
      </c>
      <c r="D33" s="6">
        <v>342579.58</v>
      </c>
      <c r="E33" s="6">
        <v>90579.58</v>
      </c>
      <c r="F33" s="6">
        <v>35.9443</v>
      </c>
    </row>
    <row r="34">
      <c r="A34" s="5">
        <v>45839.0</v>
      </c>
      <c r="B34" s="6" t="s">
        <v>21</v>
      </c>
      <c r="C34" s="6">
        <v>180000.0</v>
      </c>
      <c r="D34" s="6">
        <v>223722.45</v>
      </c>
      <c r="E34" s="6">
        <v>43722.45</v>
      </c>
      <c r="F34" s="6">
        <v>24.2903</v>
      </c>
    </row>
    <row r="35">
      <c r="A35" s="5">
        <v>45839.0</v>
      </c>
      <c r="B35" s="6" t="s">
        <v>22</v>
      </c>
      <c r="C35" s="6">
        <v>216000.0</v>
      </c>
      <c r="D35" s="6">
        <v>267101.67</v>
      </c>
      <c r="E35" s="6">
        <v>51101.67</v>
      </c>
      <c r="F35" s="6">
        <v>23.6582</v>
      </c>
    </row>
    <row r="36">
      <c r="A36" s="5">
        <v>45839.0</v>
      </c>
      <c r="B36" s="6" t="s">
        <v>23</v>
      </c>
      <c r="C36" s="6">
        <v>162000.0</v>
      </c>
      <c r="D36" s="6">
        <v>158114.26</v>
      </c>
      <c r="E36" s="6">
        <v>-3885.74</v>
      </c>
      <c r="F36" s="6">
        <v>-2.3986</v>
      </c>
    </row>
    <row r="37">
      <c r="A37" s="5">
        <v>45870.0</v>
      </c>
      <c r="B37" s="6" t="s">
        <v>11</v>
      </c>
      <c r="C37" s="6">
        <v>469800.0</v>
      </c>
      <c r="D37" s="6">
        <v>734328.11</v>
      </c>
      <c r="E37" s="6">
        <v>264528.11</v>
      </c>
      <c r="F37" s="6">
        <v>56.3065</v>
      </c>
    </row>
    <row r="38">
      <c r="A38" s="5">
        <v>45870.0</v>
      </c>
      <c r="B38" s="6" t="s">
        <v>21</v>
      </c>
      <c r="C38" s="6">
        <v>180000.0</v>
      </c>
      <c r="D38" s="6">
        <v>248865.1</v>
      </c>
      <c r="E38" s="6">
        <v>68865.1</v>
      </c>
      <c r="F38" s="6">
        <v>38.2584</v>
      </c>
    </row>
    <row r="39">
      <c r="A39" s="5">
        <v>45870.0</v>
      </c>
      <c r="B39" s="6" t="s">
        <v>20</v>
      </c>
      <c r="C39" s="6">
        <v>252000.0</v>
      </c>
      <c r="D39" s="6">
        <v>330936.26</v>
      </c>
      <c r="E39" s="6">
        <v>78936.26</v>
      </c>
      <c r="F39" s="6">
        <v>31.3239</v>
      </c>
    </row>
    <row r="40">
      <c r="A40" s="5">
        <v>45870.0</v>
      </c>
      <c r="B40" s="6" t="s">
        <v>22</v>
      </c>
      <c r="C40" s="6">
        <v>216000.0</v>
      </c>
      <c r="D40" s="6">
        <v>271470.27</v>
      </c>
      <c r="E40" s="6">
        <v>55470.27</v>
      </c>
      <c r="F40" s="6">
        <v>25.6807</v>
      </c>
    </row>
    <row r="41">
      <c r="A41" s="5">
        <v>45870.0</v>
      </c>
      <c r="B41" s="6" t="s">
        <v>23</v>
      </c>
      <c r="C41" s="6">
        <v>162000.0</v>
      </c>
      <c r="D41" s="6">
        <v>163161.56</v>
      </c>
      <c r="E41" s="6">
        <v>1161.56</v>
      </c>
      <c r="F41" s="6">
        <v>0.717</v>
      </c>
    </row>
    <row r="42">
      <c r="A42" s="5">
        <v>45901.0</v>
      </c>
      <c r="B42" s="6" t="s">
        <v>11</v>
      </c>
      <c r="C42" s="6">
        <v>469800.0</v>
      </c>
      <c r="D42" s="6">
        <v>700096.14</v>
      </c>
      <c r="E42" s="6">
        <v>230296.14</v>
      </c>
      <c r="F42" s="6">
        <v>49.02</v>
      </c>
    </row>
    <row r="43">
      <c r="A43" s="5">
        <v>45901.0</v>
      </c>
      <c r="B43" s="6" t="s">
        <v>20</v>
      </c>
      <c r="C43" s="6">
        <v>252000.0</v>
      </c>
      <c r="D43" s="6">
        <v>355079.46</v>
      </c>
      <c r="E43" s="6">
        <v>103079.46</v>
      </c>
      <c r="F43" s="6">
        <v>40.9045</v>
      </c>
    </row>
    <row r="44">
      <c r="A44" s="5">
        <v>45901.0</v>
      </c>
      <c r="B44" s="6" t="s">
        <v>22</v>
      </c>
      <c r="C44" s="6">
        <v>216000.0</v>
      </c>
      <c r="D44" s="6">
        <v>300625.57</v>
      </c>
      <c r="E44" s="6">
        <v>84625.57</v>
      </c>
      <c r="F44" s="6">
        <v>39.1785</v>
      </c>
    </row>
    <row r="45">
      <c r="A45" s="5">
        <v>45901.0</v>
      </c>
      <c r="B45" s="6" t="s">
        <v>21</v>
      </c>
      <c r="C45" s="6">
        <v>180000.0</v>
      </c>
      <c r="D45" s="6">
        <v>247515.86</v>
      </c>
      <c r="E45" s="6">
        <v>67515.86</v>
      </c>
      <c r="F45" s="6">
        <v>37.5088</v>
      </c>
    </row>
    <row r="46">
      <c r="A46" s="5">
        <v>45901.0</v>
      </c>
      <c r="B46" s="6" t="s">
        <v>23</v>
      </c>
      <c r="C46" s="6">
        <v>162000.0</v>
      </c>
      <c r="D46" s="6">
        <v>148967.26</v>
      </c>
      <c r="E46" s="6">
        <v>-13032.74</v>
      </c>
      <c r="F46" s="6">
        <v>-8.0449</v>
      </c>
    </row>
    <row r="47">
      <c r="A47" s="5">
        <v>45931.0</v>
      </c>
      <c r="B47" s="6" t="s">
        <v>11</v>
      </c>
      <c r="C47" s="6">
        <v>469800.0</v>
      </c>
      <c r="D47" s="6">
        <v>627951.47</v>
      </c>
      <c r="E47" s="6">
        <v>158151.47</v>
      </c>
      <c r="F47" s="6">
        <v>33.6636</v>
      </c>
    </row>
    <row r="48">
      <c r="A48" s="5">
        <v>45931.0</v>
      </c>
      <c r="B48" s="6" t="s">
        <v>21</v>
      </c>
      <c r="C48" s="6">
        <v>180000.0</v>
      </c>
      <c r="D48" s="6">
        <v>236866.65</v>
      </c>
      <c r="E48" s="6">
        <v>56866.65</v>
      </c>
      <c r="F48" s="6">
        <v>31.5926</v>
      </c>
    </row>
    <row r="49">
      <c r="A49" s="5">
        <v>45931.0</v>
      </c>
      <c r="B49" s="6" t="s">
        <v>22</v>
      </c>
      <c r="C49" s="6">
        <v>216000.0</v>
      </c>
      <c r="D49" s="6">
        <v>271863.59</v>
      </c>
      <c r="E49" s="6">
        <v>55863.59</v>
      </c>
      <c r="F49" s="6">
        <v>25.8628</v>
      </c>
    </row>
    <row r="50">
      <c r="A50" s="5">
        <v>45931.0</v>
      </c>
      <c r="B50" s="6" t="s">
        <v>20</v>
      </c>
      <c r="C50" s="6">
        <v>252000.0</v>
      </c>
      <c r="D50" s="6">
        <v>299798.27</v>
      </c>
      <c r="E50" s="6">
        <v>47798.27</v>
      </c>
      <c r="F50" s="6">
        <v>18.9676</v>
      </c>
    </row>
    <row r="51">
      <c r="A51" s="5">
        <v>45931.0</v>
      </c>
      <c r="B51" s="6" t="s">
        <v>23</v>
      </c>
      <c r="C51" s="6">
        <v>162000.0</v>
      </c>
      <c r="D51" s="6">
        <v>144707.79</v>
      </c>
      <c r="E51" s="6">
        <v>-17292.21</v>
      </c>
      <c r="F51" s="6">
        <v>-10.6742</v>
      </c>
    </row>
    <row r="52">
      <c r="A52" s="5">
        <v>45962.0</v>
      </c>
      <c r="B52" s="6" t="s">
        <v>11</v>
      </c>
      <c r="C52" s="6">
        <v>469800.0</v>
      </c>
      <c r="D52" s="6">
        <v>673492.93</v>
      </c>
      <c r="E52" s="6">
        <v>203692.93</v>
      </c>
      <c r="F52" s="6">
        <v>43.3574</v>
      </c>
    </row>
    <row r="53">
      <c r="A53" s="5">
        <v>45962.0</v>
      </c>
      <c r="B53" s="6" t="s">
        <v>22</v>
      </c>
      <c r="C53" s="6">
        <v>216000.0</v>
      </c>
      <c r="D53" s="6">
        <v>276359.14</v>
      </c>
      <c r="E53" s="6">
        <v>60359.14</v>
      </c>
      <c r="F53" s="6">
        <v>27.944</v>
      </c>
    </row>
    <row r="54">
      <c r="A54" s="5">
        <v>45962.0</v>
      </c>
      <c r="B54" s="6" t="s">
        <v>20</v>
      </c>
      <c r="C54" s="6">
        <v>252000.0</v>
      </c>
      <c r="D54" s="6">
        <v>318636.93</v>
      </c>
      <c r="E54" s="6">
        <v>66636.93</v>
      </c>
      <c r="F54" s="6">
        <v>26.4432</v>
      </c>
    </row>
    <row r="55">
      <c r="A55" s="5">
        <v>45962.0</v>
      </c>
      <c r="B55" s="6" t="s">
        <v>21</v>
      </c>
      <c r="C55" s="6">
        <v>180000.0</v>
      </c>
      <c r="D55" s="6">
        <v>226935.53</v>
      </c>
      <c r="E55" s="6">
        <v>46935.53</v>
      </c>
      <c r="F55" s="6">
        <v>26.0753</v>
      </c>
    </row>
    <row r="56">
      <c r="A56" s="5">
        <v>45962.0</v>
      </c>
      <c r="B56" s="6" t="s">
        <v>23</v>
      </c>
      <c r="C56" s="6">
        <v>162000.0</v>
      </c>
      <c r="D56" s="6">
        <v>144352.49</v>
      </c>
      <c r="E56" s="6">
        <v>-17647.51</v>
      </c>
      <c r="F56" s="6">
        <v>-10.8935</v>
      </c>
    </row>
    <row r="57">
      <c r="A57" s="5">
        <v>45992.0</v>
      </c>
      <c r="B57" s="6" t="s">
        <v>11</v>
      </c>
      <c r="C57" s="6">
        <v>469800.0</v>
      </c>
      <c r="D57" s="6">
        <v>678848.81</v>
      </c>
      <c r="E57" s="6">
        <v>209048.81</v>
      </c>
      <c r="F57" s="6">
        <v>44.4974</v>
      </c>
    </row>
    <row r="58">
      <c r="A58" s="5">
        <v>45992.0</v>
      </c>
      <c r="B58" s="6" t="s">
        <v>22</v>
      </c>
      <c r="C58" s="6">
        <v>216000.0</v>
      </c>
      <c r="D58" s="6">
        <v>290347.02</v>
      </c>
      <c r="E58" s="6">
        <v>74347.02</v>
      </c>
      <c r="F58" s="6">
        <v>34.4199</v>
      </c>
    </row>
    <row r="59">
      <c r="A59" s="5">
        <v>45992.0</v>
      </c>
      <c r="B59" s="6" t="s">
        <v>21</v>
      </c>
      <c r="C59" s="6">
        <v>180000.0</v>
      </c>
      <c r="D59" s="6">
        <v>236926.59</v>
      </c>
      <c r="E59" s="6">
        <v>56926.59</v>
      </c>
      <c r="F59" s="6">
        <v>31.6259</v>
      </c>
    </row>
    <row r="60">
      <c r="A60" s="5">
        <v>45992.0</v>
      </c>
      <c r="B60" s="6" t="s">
        <v>20</v>
      </c>
      <c r="C60" s="6">
        <v>252000.0</v>
      </c>
      <c r="D60" s="6">
        <v>316487.28</v>
      </c>
      <c r="E60" s="6">
        <v>64487.28</v>
      </c>
      <c r="F60" s="6">
        <v>25.5902</v>
      </c>
    </row>
    <row r="61">
      <c r="A61" s="5">
        <v>45992.0</v>
      </c>
      <c r="B61" s="6" t="s">
        <v>23</v>
      </c>
      <c r="C61" s="6">
        <v>162000.0</v>
      </c>
      <c r="D61" s="6">
        <v>157444.96</v>
      </c>
      <c r="E61" s="6">
        <v>-4555.04</v>
      </c>
      <c r="F61" s="6">
        <v>-2.8118</v>
      </c>
    </row>
    <row r="62">
      <c r="A62" s="5">
        <v>46023.0</v>
      </c>
      <c r="B62" s="6" t="s">
        <v>11</v>
      </c>
      <c r="C62" s="6">
        <v>497988.0</v>
      </c>
      <c r="D62" s="6">
        <v>697476.88</v>
      </c>
      <c r="E62" s="6">
        <v>199488.88</v>
      </c>
      <c r="F62" s="6">
        <v>40.059</v>
      </c>
    </row>
    <row r="63">
      <c r="A63" s="5">
        <v>46023.0</v>
      </c>
      <c r="B63" s="6" t="s">
        <v>22</v>
      </c>
      <c r="C63" s="6">
        <v>228960.0</v>
      </c>
      <c r="D63" s="6">
        <v>294980.55</v>
      </c>
      <c r="E63" s="6">
        <v>66020.55</v>
      </c>
      <c r="F63" s="6">
        <v>28.835</v>
      </c>
    </row>
    <row r="64">
      <c r="A64" s="5">
        <v>46023.0</v>
      </c>
      <c r="B64" s="6" t="s">
        <v>21</v>
      </c>
      <c r="C64" s="6">
        <v>190800.0</v>
      </c>
      <c r="D64" s="6">
        <v>235065.46</v>
      </c>
      <c r="E64" s="6">
        <v>44265.46</v>
      </c>
      <c r="F64" s="6">
        <v>23.1999</v>
      </c>
    </row>
    <row r="65">
      <c r="A65" s="5">
        <v>46023.0</v>
      </c>
      <c r="B65" s="6" t="s">
        <v>20</v>
      </c>
      <c r="C65" s="6">
        <v>267120.0</v>
      </c>
      <c r="D65" s="6">
        <v>315953.6</v>
      </c>
      <c r="E65" s="6">
        <v>48833.6</v>
      </c>
      <c r="F65" s="6">
        <v>18.2815</v>
      </c>
    </row>
    <row r="66">
      <c r="A66" s="5">
        <v>46023.0</v>
      </c>
      <c r="B66" s="6" t="s">
        <v>23</v>
      </c>
      <c r="C66" s="6">
        <v>171720.0</v>
      </c>
      <c r="D66" s="6">
        <v>150231.3</v>
      </c>
      <c r="E66" s="6">
        <v>-21488.7</v>
      </c>
      <c r="F66" s="6">
        <v>-12.5138</v>
      </c>
    </row>
    <row r="67">
      <c r="A67" s="5">
        <v>46054.0</v>
      </c>
      <c r="B67" s="6" t="s">
        <v>11</v>
      </c>
      <c r="C67" s="6">
        <v>497988.0</v>
      </c>
      <c r="D67" s="6">
        <v>721654.56</v>
      </c>
      <c r="E67" s="6">
        <v>223666.56</v>
      </c>
      <c r="F67" s="6">
        <v>44.914</v>
      </c>
    </row>
    <row r="68">
      <c r="A68" s="5">
        <v>46054.0</v>
      </c>
      <c r="B68" s="6" t="s">
        <v>22</v>
      </c>
      <c r="C68" s="6">
        <v>228960.0</v>
      </c>
      <c r="D68" s="6">
        <v>291861.59</v>
      </c>
      <c r="E68" s="6">
        <v>62901.59</v>
      </c>
      <c r="F68" s="6">
        <v>27.4727</v>
      </c>
    </row>
    <row r="69">
      <c r="A69" s="5">
        <v>46054.0</v>
      </c>
      <c r="B69" s="6" t="s">
        <v>20</v>
      </c>
      <c r="C69" s="6">
        <v>267120.0</v>
      </c>
      <c r="D69" s="6">
        <v>336350.52</v>
      </c>
      <c r="E69" s="6">
        <v>69230.52</v>
      </c>
      <c r="F69" s="6">
        <v>25.9174</v>
      </c>
    </row>
    <row r="70">
      <c r="A70" s="5">
        <v>46054.0</v>
      </c>
      <c r="B70" s="6" t="s">
        <v>21</v>
      </c>
      <c r="C70" s="6">
        <v>190800.0</v>
      </c>
      <c r="D70" s="6">
        <v>236765.4</v>
      </c>
      <c r="E70" s="6">
        <v>45965.4</v>
      </c>
      <c r="F70" s="6">
        <v>24.0909</v>
      </c>
    </row>
    <row r="71">
      <c r="A71" s="5">
        <v>46054.0</v>
      </c>
      <c r="B71" s="6" t="s">
        <v>23</v>
      </c>
      <c r="C71" s="6">
        <v>171720.0</v>
      </c>
      <c r="D71" s="6">
        <v>163726.1</v>
      </c>
      <c r="E71" s="6">
        <v>-7993.9</v>
      </c>
      <c r="F71" s="6">
        <v>-4.6552</v>
      </c>
    </row>
    <row r="72">
      <c r="A72" s="5">
        <v>46082.0</v>
      </c>
      <c r="B72" s="6" t="s">
        <v>11</v>
      </c>
      <c r="C72" s="6">
        <v>497988.0</v>
      </c>
      <c r="D72" s="6">
        <v>714700.19</v>
      </c>
      <c r="E72" s="6">
        <v>216712.19</v>
      </c>
      <c r="F72" s="6">
        <v>43.5176</v>
      </c>
    </row>
    <row r="73">
      <c r="A73" s="5">
        <v>46082.0</v>
      </c>
      <c r="B73" s="6" t="s">
        <v>20</v>
      </c>
      <c r="C73" s="6">
        <v>267120.0</v>
      </c>
      <c r="D73" s="6">
        <v>352332.42</v>
      </c>
      <c r="E73" s="6">
        <v>85212.42</v>
      </c>
      <c r="F73" s="6">
        <v>31.9004</v>
      </c>
    </row>
    <row r="74">
      <c r="A74" s="5">
        <v>46082.0</v>
      </c>
      <c r="B74" s="6" t="s">
        <v>22</v>
      </c>
      <c r="C74" s="6">
        <v>228960.0</v>
      </c>
      <c r="D74" s="6">
        <v>283223.99</v>
      </c>
      <c r="E74" s="6">
        <v>54263.99</v>
      </c>
      <c r="F74" s="6">
        <v>23.7002</v>
      </c>
    </row>
    <row r="75">
      <c r="A75" s="5">
        <v>46082.0</v>
      </c>
      <c r="B75" s="6" t="s">
        <v>21</v>
      </c>
      <c r="C75" s="6">
        <v>190800.0</v>
      </c>
      <c r="D75" s="6">
        <v>232938.9</v>
      </c>
      <c r="E75" s="6">
        <v>42138.9</v>
      </c>
      <c r="F75" s="6">
        <v>22.0854</v>
      </c>
    </row>
    <row r="76">
      <c r="A76" s="5">
        <v>46082.0</v>
      </c>
      <c r="B76" s="6" t="s">
        <v>23</v>
      </c>
      <c r="C76" s="6">
        <v>171720.0</v>
      </c>
      <c r="D76" s="6">
        <v>154005.01</v>
      </c>
      <c r="E76" s="6">
        <v>-17714.99</v>
      </c>
      <c r="F76" s="6">
        <v>-10.3162</v>
      </c>
    </row>
    <row r="77">
      <c r="A77" s="5">
        <v>46113.0</v>
      </c>
      <c r="B77" s="6" t="s">
        <v>11</v>
      </c>
      <c r="C77" s="6">
        <v>497988.0</v>
      </c>
      <c r="D77" s="6">
        <v>742264.31</v>
      </c>
      <c r="E77" s="6">
        <v>244276.31</v>
      </c>
      <c r="F77" s="6">
        <v>49.0526</v>
      </c>
    </row>
    <row r="78">
      <c r="A78" s="5">
        <v>46113.0</v>
      </c>
      <c r="B78" s="6" t="s">
        <v>21</v>
      </c>
      <c r="C78" s="6">
        <v>190800.0</v>
      </c>
      <c r="D78" s="6">
        <v>265085.23</v>
      </c>
      <c r="E78" s="6">
        <v>74285.23</v>
      </c>
      <c r="F78" s="6">
        <v>38.9336</v>
      </c>
    </row>
    <row r="79">
      <c r="A79" s="5">
        <v>46113.0</v>
      </c>
      <c r="B79" s="6" t="s">
        <v>22</v>
      </c>
      <c r="C79" s="6">
        <v>228960.0</v>
      </c>
      <c r="D79" s="6">
        <v>306405.68</v>
      </c>
      <c r="E79" s="6">
        <v>77445.68</v>
      </c>
      <c r="F79" s="6">
        <v>33.825</v>
      </c>
    </row>
    <row r="80">
      <c r="A80" s="5">
        <v>46113.0</v>
      </c>
      <c r="B80" s="6" t="s">
        <v>20</v>
      </c>
      <c r="C80" s="6">
        <v>267120.0</v>
      </c>
      <c r="D80" s="6">
        <v>336552.89</v>
      </c>
      <c r="E80" s="6">
        <v>69432.89</v>
      </c>
      <c r="F80" s="6">
        <v>25.9931</v>
      </c>
    </row>
    <row r="81">
      <c r="A81" s="5">
        <v>46113.0</v>
      </c>
      <c r="B81" s="6" t="s">
        <v>23</v>
      </c>
      <c r="C81" s="6">
        <v>171720.0</v>
      </c>
      <c r="D81" s="6">
        <v>170071.35</v>
      </c>
      <c r="E81" s="6">
        <v>-1648.65</v>
      </c>
      <c r="F81" s="6">
        <v>-0.9601</v>
      </c>
    </row>
    <row r="82">
      <c r="A82" s="5">
        <v>46143.0</v>
      </c>
      <c r="B82" s="6" t="s">
        <v>11</v>
      </c>
      <c r="C82" s="6">
        <v>497988.0</v>
      </c>
      <c r="D82" s="6">
        <v>729666.52</v>
      </c>
      <c r="E82" s="6">
        <v>231678.52</v>
      </c>
      <c r="F82" s="6">
        <v>46.5229</v>
      </c>
    </row>
    <row r="83">
      <c r="A83" s="5">
        <v>46143.0</v>
      </c>
      <c r="B83" s="6" t="s">
        <v>22</v>
      </c>
      <c r="C83" s="6">
        <v>228960.0</v>
      </c>
      <c r="D83" s="6">
        <v>307553.78</v>
      </c>
      <c r="E83" s="6">
        <v>78593.78</v>
      </c>
      <c r="F83" s="6">
        <v>34.3264</v>
      </c>
    </row>
    <row r="84">
      <c r="A84" s="5">
        <v>46143.0</v>
      </c>
      <c r="B84" s="6" t="s">
        <v>20</v>
      </c>
      <c r="C84" s="6">
        <v>267120.0</v>
      </c>
      <c r="D84" s="6">
        <v>345391.6</v>
      </c>
      <c r="E84" s="6">
        <v>78271.6</v>
      </c>
      <c r="F84" s="6">
        <v>29.302</v>
      </c>
    </row>
    <row r="85">
      <c r="A85" s="5">
        <v>46143.0</v>
      </c>
      <c r="B85" s="6" t="s">
        <v>21</v>
      </c>
      <c r="C85" s="6">
        <v>190800.0</v>
      </c>
      <c r="D85" s="6">
        <v>242806.4</v>
      </c>
      <c r="E85" s="6">
        <v>52006.4</v>
      </c>
      <c r="F85" s="6">
        <v>27.257</v>
      </c>
    </row>
    <row r="86">
      <c r="A86" s="5">
        <v>46143.0</v>
      </c>
      <c r="B86" s="6" t="s">
        <v>23</v>
      </c>
      <c r="C86" s="6">
        <v>171720.0</v>
      </c>
      <c r="D86" s="6">
        <v>165558.09</v>
      </c>
      <c r="E86" s="6">
        <v>-6161.91</v>
      </c>
      <c r="F86" s="6">
        <v>-3.5883</v>
      </c>
    </row>
    <row r="87">
      <c r="A87" s="5">
        <v>46174.0</v>
      </c>
      <c r="B87" s="6" t="s">
        <v>11</v>
      </c>
      <c r="C87" s="6">
        <v>497988.0</v>
      </c>
      <c r="D87" s="6">
        <v>727582.23</v>
      </c>
      <c r="E87" s="6">
        <v>229594.23</v>
      </c>
      <c r="F87" s="6">
        <v>46.1044</v>
      </c>
    </row>
    <row r="88">
      <c r="A88" s="5">
        <v>46174.0</v>
      </c>
      <c r="B88" s="6" t="s">
        <v>22</v>
      </c>
      <c r="C88" s="6">
        <v>228960.0</v>
      </c>
      <c r="D88" s="6">
        <v>301189.23</v>
      </c>
      <c r="E88" s="6">
        <v>72229.23</v>
      </c>
      <c r="F88" s="6">
        <v>31.5467</v>
      </c>
    </row>
    <row r="89">
      <c r="A89" s="5">
        <v>46174.0</v>
      </c>
      <c r="B89" s="6" t="s">
        <v>21</v>
      </c>
      <c r="C89" s="6">
        <v>190800.0</v>
      </c>
      <c r="D89" s="6">
        <v>246913.59</v>
      </c>
      <c r="E89" s="6">
        <v>56113.59</v>
      </c>
      <c r="F89" s="6">
        <v>29.4096</v>
      </c>
    </row>
    <row r="90">
      <c r="A90" s="5">
        <v>46174.0</v>
      </c>
      <c r="B90" s="6" t="s">
        <v>20</v>
      </c>
      <c r="C90" s="6">
        <v>267120.0</v>
      </c>
      <c r="D90" s="6">
        <v>343238.28</v>
      </c>
      <c r="E90" s="6">
        <v>76118.28</v>
      </c>
      <c r="F90" s="6">
        <v>28.4959</v>
      </c>
    </row>
    <row r="91">
      <c r="A91" s="5">
        <v>46174.0</v>
      </c>
      <c r="B91" s="6" t="s">
        <v>23</v>
      </c>
      <c r="C91" s="6">
        <v>171720.0</v>
      </c>
      <c r="D91" s="6">
        <v>173453.86</v>
      </c>
      <c r="E91" s="6">
        <v>1733.86</v>
      </c>
      <c r="F91" s="6">
        <v>1.0097</v>
      </c>
    </row>
    <row r="92">
      <c r="A92" s="5">
        <v>46204.0</v>
      </c>
      <c r="B92" s="6" t="s">
        <v>11</v>
      </c>
      <c r="C92" s="6">
        <v>497988.0</v>
      </c>
      <c r="D92" s="6">
        <v>839460.33</v>
      </c>
      <c r="E92" s="6">
        <v>341472.33</v>
      </c>
      <c r="F92" s="6">
        <v>68.5704</v>
      </c>
    </row>
    <row r="93">
      <c r="A93" s="5">
        <v>46204.0</v>
      </c>
      <c r="B93" s="6" t="s">
        <v>21</v>
      </c>
      <c r="C93" s="6">
        <v>190800.0</v>
      </c>
      <c r="D93" s="6">
        <v>296220.41</v>
      </c>
      <c r="E93" s="6">
        <v>105420.41</v>
      </c>
      <c r="F93" s="6">
        <v>55.2518</v>
      </c>
    </row>
    <row r="94">
      <c r="A94" s="5">
        <v>46204.0</v>
      </c>
      <c r="B94" s="6" t="s">
        <v>22</v>
      </c>
      <c r="C94" s="6">
        <v>228960.0</v>
      </c>
      <c r="D94" s="6">
        <v>346172.53</v>
      </c>
      <c r="E94" s="6">
        <v>117212.53</v>
      </c>
      <c r="F94" s="6">
        <v>51.1935</v>
      </c>
    </row>
    <row r="95">
      <c r="A95" s="5">
        <v>46204.0</v>
      </c>
      <c r="B95" s="6" t="s">
        <v>20</v>
      </c>
      <c r="C95" s="6">
        <v>267120.0</v>
      </c>
      <c r="D95" s="6">
        <v>395517.93</v>
      </c>
      <c r="E95" s="6">
        <v>128397.93</v>
      </c>
      <c r="F95" s="6">
        <v>48.0675</v>
      </c>
    </row>
    <row r="96">
      <c r="A96" s="5">
        <v>46204.0</v>
      </c>
      <c r="B96" s="6" t="s">
        <v>23</v>
      </c>
      <c r="C96" s="6">
        <v>171720.0</v>
      </c>
      <c r="D96" s="6">
        <v>202473.69</v>
      </c>
      <c r="E96" s="6">
        <v>30753.69</v>
      </c>
      <c r="F96" s="6">
        <v>17.9092</v>
      </c>
    </row>
    <row r="97">
      <c r="A97" s="5">
        <v>46235.0</v>
      </c>
      <c r="B97" s="6" t="s">
        <v>11</v>
      </c>
      <c r="C97" s="6">
        <v>497988.0</v>
      </c>
      <c r="D97" s="6">
        <v>876665.22</v>
      </c>
      <c r="E97" s="6">
        <v>378677.22</v>
      </c>
      <c r="F97" s="6">
        <v>76.0414</v>
      </c>
    </row>
    <row r="98">
      <c r="A98" s="5">
        <v>46235.0</v>
      </c>
      <c r="B98" s="6" t="s">
        <v>20</v>
      </c>
      <c r="C98" s="6">
        <v>267120.0</v>
      </c>
      <c r="D98" s="6">
        <v>419709.8</v>
      </c>
      <c r="E98" s="6">
        <v>152589.8</v>
      </c>
      <c r="F98" s="6">
        <v>57.1241</v>
      </c>
    </row>
    <row r="99">
      <c r="A99" s="5">
        <v>46235.0</v>
      </c>
      <c r="B99" s="6" t="s">
        <v>21</v>
      </c>
      <c r="C99" s="6">
        <v>190800.0</v>
      </c>
      <c r="D99" s="6">
        <v>289561.69</v>
      </c>
      <c r="E99" s="6">
        <v>98761.69</v>
      </c>
      <c r="F99" s="6">
        <v>51.7619</v>
      </c>
    </row>
    <row r="100">
      <c r="A100" s="5">
        <v>46235.0</v>
      </c>
      <c r="B100" s="6" t="s">
        <v>22</v>
      </c>
      <c r="C100" s="6">
        <v>228960.0</v>
      </c>
      <c r="D100" s="6">
        <v>345396.97</v>
      </c>
      <c r="E100" s="6">
        <v>116436.97</v>
      </c>
      <c r="F100" s="6">
        <v>50.8547</v>
      </c>
    </row>
    <row r="101">
      <c r="A101" s="5">
        <v>46235.0</v>
      </c>
      <c r="B101" s="6" t="s">
        <v>23</v>
      </c>
      <c r="C101" s="6">
        <v>171720.0</v>
      </c>
      <c r="D101" s="6">
        <v>191430.0</v>
      </c>
      <c r="E101" s="6">
        <v>19710.0</v>
      </c>
      <c r="F101" s="6">
        <v>11.478</v>
      </c>
    </row>
    <row r="102">
      <c r="A102" s="5">
        <v>46266.0</v>
      </c>
      <c r="B102" s="6" t="s">
        <v>11</v>
      </c>
      <c r="C102" s="6">
        <v>497988.0</v>
      </c>
      <c r="D102" s="6">
        <v>887518.67</v>
      </c>
      <c r="E102" s="6">
        <v>389530.67</v>
      </c>
      <c r="F102" s="6">
        <v>78.2209</v>
      </c>
    </row>
    <row r="103">
      <c r="A103" s="5">
        <v>46266.0</v>
      </c>
      <c r="B103" s="6" t="s">
        <v>22</v>
      </c>
      <c r="C103" s="6">
        <v>228960.0</v>
      </c>
      <c r="D103" s="6">
        <v>383898.22</v>
      </c>
      <c r="E103" s="6">
        <v>154938.22</v>
      </c>
      <c r="F103" s="6">
        <v>67.6704</v>
      </c>
    </row>
    <row r="104">
      <c r="A104" s="5">
        <v>46266.0</v>
      </c>
      <c r="B104" s="6" t="s">
        <v>20</v>
      </c>
      <c r="C104" s="6">
        <v>267120.0</v>
      </c>
      <c r="D104" s="6">
        <v>427486.5</v>
      </c>
      <c r="E104" s="6">
        <v>160366.5</v>
      </c>
      <c r="F104" s="6">
        <v>60.0354</v>
      </c>
    </row>
    <row r="105">
      <c r="A105" s="5">
        <v>46266.0</v>
      </c>
      <c r="B105" s="6" t="s">
        <v>21</v>
      </c>
      <c r="C105" s="6">
        <v>190800.0</v>
      </c>
      <c r="D105" s="6">
        <v>292098.97</v>
      </c>
      <c r="E105" s="6">
        <v>101298.97</v>
      </c>
      <c r="F105" s="6">
        <v>53.0917</v>
      </c>
    </row>
    <row r="106">
      <c r="A106" s="5">
        <v>46266.0</v>
      </c>
      <c r="B106" s="6" t="s">
        <v>23</v>
      </c>
      <c r="C106" s="6">
        <v>171720.0</v>
      </c>
      <c r="D106" s="6">
        <v>199652.39</v>
      </c>
      <c r="E106" s="6">
        <v>27932.39</v>
      </c>
      <c r="F106" s="6">
        <v>16.2662</v>
      </c>
    </row>
    <row r="107">
      <c r="A107" s="5">
        <v>46296.0</v>
      </c>
      <c r="B107" s="6" t="s">
        <v>11</v>
      </c>
      <c r="C107" s="6">
        <v>497988.0</v>
      </c>
      <c r="D107" s="6">
        <v>760409.24</v>
      </c>
      <c r="E107" s="6">
        <v>262421.24</v>
      </c>
      <c r="F107" s="6">
        <v>52.6963</v>
      </c>
    </row>
    <row r="108">
      <c r="A108" s="5">
        <v>46296.0</v>
      </c>
      <c r="B108" s="6" t="s">
        <v>22</v>
      </c>
      <c r="C108" s="6">
        <v>228960.0</v>
      </c>
      <c r="D108" s="6">
        <v>331354.66</v>
      </c>
      <c r="E108" s="6">
        <v>102394.66</v>
      </c>
      <c r="F108" s="6">
        <v>44.7216</v>
      </c>
    </row>
    <row r="109">
      <c r="A109" s="5">
        <v>46296.0</v>
      </c>
      <c r="B109" s="6" t="s">
        <v>20</v>
      </c>
      <c r="C109" s="6">
        <v>267120.0</v>
      </c>
      <c r="D109" s="6">
        <v>375646.31</v>
      </c>
      <c r="E109" s="6">
        <v>108526.31</v>
      </c>
      <c r="F109" s="6">
        <v>40.6283</v>
      </c>
    </row>
    <row r="110">
      <c r="A110" s="5">
        <v>46296.0</v>
      </c>
      <c r="B110" s="6" t="s">
        <v>21</v>
      </c>
      <c r="C110" s="6">
        <v>190800.0</v>
      </c>
      <c r="D110" s="6">
        <v>259760.6</v>
      </c>
      <c r="E110" s="6">
        <v>68960.6</v>
      </c>
      <c r="F110" s="6">
        <v>36.1429</v>
      </c>
    </row>
    <row r="111">
      <c r="A111" s="5">
        <v>46296.0</v>
      </c>
      <c r="B111" s="6" t="s">
        <v>23</v>
      </c>
      <c r="C111" s="6">
        <v>171720.0</v>
      </c>
      <c r="D111" s="6">
        <v>168230.46</v>
      </c>
      <c r="E111" s="6">
        <v>-3489.54</v>
      </c>
      <c r="F111" s="6">
        <v>-2.0321</v>
      </c>
    </row>
    <row r="112">
      <c r="A112" s="5">
        <v>46327.0</v>
      </c>
      <c r="B112" s="6" t="s">
        <v>11</v>
      </c>
      <c r="C112" s="6">
        <v>497988.0</v>
      </c>
      <c r="D112" s="6">
        <v>799221.47</v>
      </c>
      <c r="E112" s="6">
        <v>301233.47</v>
      </c>
      <c r="F112" s="6">
        <v>60.4901</v>
      </c>
    </row>
    <row r="113">
      <c r="A113" s="5">
        <v>46327.0</v>
      </c>
      <c r="B113" s="6" t="s">
        <v>21</v>
      </c>
      <c r="C113" s="6">
        <v>190800.0</v>
      </c>
      <c r="D113" s="6">
        <v>284201.02</v>
      </c>
      <c r="E113" s="6">
        <v>93401.02</v>
      </c>
      <c r="F113" s="6">
        <v>48.9523</v>
      </c>
    </row>
    <row r="114">
      <c r="A114" s="5">
        <v>46327.0</v>
      </c>
      <c r="B114" s="6" t="s">
        <v>22</v>
      </c>
      <c r="C114" s="6">
        <v>228960.0</v>
      </c>
      <c r="D114" s="6">
        <v>339116.2</v>
      </c>
      <c r="E114" s="6">
        <v>110156.2</v>
      </c>
      <c r="F114" s="6">
        <v>48.1115</v>
      </c>
    </row>
    <row r="115">
      <c r="A115" s="5">
        <v>46327.0</v>
      </c>
      <c r="B115" s="6" t="s">
        <v>20</v>
      </c>
      <c r="C115" s="6">
        <v>267120.0</v>
      </c>
      <c r="D115" s="6">
        <v>380119.23</v>
      </c>
      <c r="E115" s="6">
        <v>112999.23</v>
      </c>
      <c r="F115" s="6">
        <v>42.3028</v>
      </c>
    </row>
    <row r="116">
      <c r="A116" s="5">
        <v>46327.0</v>
      </c>
      <c r="B116" s="6" t="s">
        <v>23</v>
      </c>
      <c r="C116" s="6">
        <v>171720.0</v>
      </c>
      <c r="D116" s="6">
        <v>172735.0</v>
      </c>
      <c r="E116" s="6">
        <v>1015.0</v>
      </c>
      <c r="F116" s="6">
        <v>0.5911</v>
      </c>
    </row>
    <row r="117">
      <c r="A117" s="5">
        <v>46357.0</v>
      </c>
      <c r="B117" s="6" t="s">
        <v>11</v>
      </c>
      <c r="C117" s="6">
        <v>497988.0</v>
      </c>
      <c r="D117" s="6">
        <v>868699.62</v>
      </c>
      <c r="E117" s="6">
        <v>370711.62</v>
      </c>
      <c r="F117" s="6">
        <v>74.4419</v>
      </c>
    </row>
    <row r="118">
      <c r="A118" s="5">
        <v>46357.0</v>
      </c>
      <c r="B118" s="6" t="s">
        <v>21</v>
      </c>
      <c r="C118" s="6">
        <v>190800.0</v>
      </c>
      <c r="D118" s="6">
        <v>283552.65</v>
      </c>
      <c r="E118" s="6">
        <v>92752.65</v>
      </c>
      <c r="F118" s="6">
        <v>48.6125</v>
      </c>
    </row>
    <row r="119">
      <c r="A119" s="5">
        <v>46357.0</v>
      </c>
      <c r="B119" s="6" t="s">
        <v>20</v>
      </c>
      <c r="C119" s="6">
        <v>267120.0</v>
      </c>
      <c r="D119" s="6">
        <v>392422.55</v>
      </c>
      <c r="E119" s="6">
        <v>125302.55</v>
      </c>
      <c r="F119" s="6">
        <v>46.9087</v>
      </c>
    </row>
    <row r="120">
      <c r="A120" s="5">
        <v>46357.0</v>
      </c>
      <c r="B120" s="6" t="s">
        <v>22</v>
      </c>
      <c r="C120" s="6">
        <v>228960.0</v>
      </c>
      <c r="D120" s="6">
        <v>324794.44</v>
      </c>
      <c r="E120" s="6">
        <v>95834.44</v>
      </c>
      <c r="F120" s="6">
        <v>41.8564</v>
      </c>
    </row>
    <row r="121">
      <c r="A121" s="5">
        <v>46357.0</v>
      </c>
      <c r="B121" s="6" t="s">
        <v>23</v>
      </c>
      <c r="C121" s="6">
        <v>171720.0</v>
      </c>
      <c r="D121" s="6">
        <v>171729.62</v>
      </c>
      <c r="E121" s="6">
        <v>9.62</v>
      </c>
      <c r="F121" s="6">
        <v>0.0056</v>
      </c>
    </row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29</v>
      </c>
      <c r="C1" s="4" t="s">
        <v>31</v>
      </c>
      <c r="D1" s="4" t="s">
        <v>30</v>
      </c>
      <c r="E1" s="4" t="s">
        <v>63</v>
      </c>
      <c r="F1" s="4" t="s">
        <v>64</v>
      </c>
      <c r="G1" s="4" t="s">
        <v>65</v>
      </c>
      <c r="H1" s="4" t="s">
        <v>52</v>
      </c>
    </row>
    <row r="2">
      <c r="A2" s="29">
        <v>45658.0</v>
      </c>
      <c r="B2" s="6">
        <v>8045325.0</v>
      </c>
      <c r="C2" s="6">
        <v>7352210.94</v>
      </c>
      <c r="D2" s="6">
        <v>9167764.37</v>
      </c>
      <c r="E2" s="6">
        <v>693114.06</v>
      </c>
      <c r="F2" s="6">
        <v>1122439.37</v>
      </c>
      <c r="G2" s="6">
        <v>8.61511573491437</v>
      </c>
      <c r="H2" s="6">
        <v>2025.0</v>
      </c>
    </row>
    <row r="3">
      <c r="A3" s="29">
        <v>45689.0</v>
      </c>
      <c r="B3" s="6">
        <v>8109687.6</v>
      </c>
      <c r="C3" s="6">
        <v>7381619.78</v>
      </c>
      <c r="D3" s="6">
        <v>9296113.07</v>
      </c>
      <c r="E3" s="6">
        <v>728067.819999999</v>
      </c>
      <c r="F3" s="6">
        <v>1186425.47</v>
      </c>
      <c r="G3" s="6">
        <v>8.97775421090203</v>
      </c>
      <c r="H3" s="6">
        <v>2025.0</v>
      </c>
    </row>
    <row r="4">
      <c r="A4" s="29">
        <v>45717.0</v>
      </c>
      <c r="B4" s="6">
        <v>8174565.1</v>
      </c>
      <c r="C4" s="6">
        <v>7411146.23</v>
      </c>
      <c r="D4" s="6">
        <v>9426258.63</v>
      </c>
      <c r="E4" s="6">
        <v>763418.869999999</v>
      </c>
      <c r="F4" s="6">
        <v>1251693.53</v>
      </c>
      <c r="G4" s="6">
        <v>9.3389539463084</v>
      </c>
      <c r="H4" s="6">
        <v>2025.0</v>
      </c>
    </row>
    <row r="5">
      <c r="A5" s="29">
        <v>45748.0</v>
      </c>
      <c r="B5" s="6">
        <v>8239961.64</v>
      </c>
      <c r="C5" s="6">
        <v>7440790.87</v>
      </c>
      <c r="D5" s="6">
        <v>9558226.27</v>
      </c>
      <c r="E5" s="6">
        <v>799170.77</v>
      </c>
      <c r="F5" s="6">
        <v>1318264.63</v>
      </c>
      <c r="G5" s="6">
        <v>9.69871954403904</v>
      </c>
      <c r="H5" s="6">
        <v>2025.0</v>
      </c>
    </row>
    <row r="6">
      <c r="A6" s="29">
        <v>45778.0</v>
      </c>
      <c r="B6" s="6">
        <v>8305881.26</v>
      </c>
      <c r="C6" s="6">
        <v>7470554.0</v>
      </c>
      <c r="D6" s="6">
        <v>9692041.43</v>
      </c>
      <c r="E6" s="6">
        <v>835327.26</v>
      </c>
      <c r="F6" s="6">
        <v>1386160.17</v>
      </c>
      <c r="G6" s="6">
        <v>10.0570575698309</v>
      </c>
      <c r="H6" s="6">
        <v>2025.0</v>
      </c>
    </row>
    <row r="7">
      <c r="A7" s="29">
        <v>45809.0</v>
      </c>
      <c r="B7" s="6">
        <v>8372328.39</v>
      </c>
      <c r="C7" s="6">
        <v>7500436.22</v>
      </c>
      <c r="D7" s="6">
        <v>9827730.07</v>
      </c>
      <c r="E7" s="6">
        <v>871892.17</v>
      </c>
      <c r="F7" s="6">
        <v>1455401.68</v>
      </c>
      <c r="G7" s="6">
        <v>10.4139748154336</v>
      </c>
      <c r="H7" s="6">
        <v>2025.0</v>
      </c>
    </row>
    <row r="8">
      <c r="A8" s="29">
        <v>45839.0</v>
      </c>
      <c r="B8" s="6">
        <v>8543381.6</v>
      </c>
      <c r="C8" s="6">
        <v>7614498.96</v>
      </c>
      <c r="D8" s="6">
        <v>1.008395035E7</v>
      </c>
      <c r="E8" s="6">
        <v>928882.64</v>
      </c>
      <c r="F8" s="6">
        <v>1540568.75</v>
      </c>
      <c r="G8" s="6">
        <v>10.8725406810811</v>
      </c>
      <c r="H8" s="6">
        <v>2025.0</v>
      </c>
    </row>
    <row r="9">
      <c r="A9" s="29">
        <v>45870.0</v>
      </c>
      <c r="B9" s="6">
        <v>8611728.68</v>
      </c>
      <c r="C9" s="6">
        <v>7644957.01</v>
      </c>
      <c r="D9" s="6">
        <v>1.022512567E7</v>
      </c>
      <c r="E9" s="6">
        <v>966771.67</v>
      </c>
      <c r="F9" s="6">
        <v>1613396.99</v>
      </c>
      <c r="G9" s="6">
        <v>11.2262207266846</v>
      </c>
      <c r="H9" s="6">
        <v>2025.0</v>
      </c>
    </row>
    <row r="10">
      <c r="A10" s="29">
        <v>45901.0</v>
      </c>
      <c r="B10" s="6">
        <v>8680622.53</v>
      </c>
      <c r="C10" s="6">
        <v>7675536.81</v>
      </c>
      <c r="D10" s="6">
        <v>1.036827735E7</v>
      </c>
      <c r="E10" s="6">
        <v>1005085.72</v>
      </c>
      <c r="F10" s="6">
        <v>1687654.82</v>
      </c>
      <c r="G10" s="6">
        <v>11.5784981610069</v>
      </c>
      <c r="H10" s="6">
        <v>2025.0</v>
      </c>
    </row>
    <row r="11">
      <c r="A11" s="29">
        <v>45931.0</v>
      </c>
      <c r="B11" s="6">
        <v>8643475.01</v>
      </c>
      <c r="C11" s="6">
        <v>7621165.17</v>
      </c>
      <c r="D11" s="6">
        <v>1.038974857E7</v>
      </c>
      <c r="E11" s="6">
        <v>1022309.84</v>
      </c>
      <c r="F11" s="6">
        <v>1746273.56</v>
      </c>
      <c r="G11" s="6">
        <v>11.8275327783935</v>
      </c>
      <c r="H11" s="6">
        <v>2025.0</v>
      </c>
    </row>
    <row r="12">
      <c r="A12" s="29">
        <v>45962.0</v>
      </c>
      <c r="B12" s="6">
        <v>8712622.81</v>
      </c>
      <c r="C12" s="6">
        <v>7651649.81</v>
      </c>
      <c r="D12" s="6">
        <v>1.053520503E7</v>
      </c>
      <c r="E12" s="6">
        <v>1060973.0</v>
      </c>
      <c r="F12" s="6">
        <v>1822582.22</v>
      </c>
      <c r="G12" s="6">
        <v>12.1774237578868</v>
      </c>
      <c r="H12" s="6">
        <v>2025.0</v>
      </c>
    </row>
    <row r="13">
      <c r="A13" s="29">
        <v>45992.0</v>
      </c>
      <c r="B13" s="6">
        <v>8782323.82</v>
      </c>
      <c r="C13" s="6">
        <v>7682256.42</v>
      </c>
      <c r="D13" s="6">
        <v>1.068269792E7</v>
      </c>
      <c r="E13" s="6">
        <v>1100067.4</v>
      </c>
      <c r="F13" s="6">
        <v>1900374.1</v>
      </c>
      <c r="G13" s="6">
        <v>12.5259261961488</v>
      </c>
      <c r="H13" s="6">
        <v>2025.0</v>
      </c>
    </row>
    <row r="14">
      <c r="A14" s="29">
        <v>46023.0</v>
      </c>
      <c r="B14" s="6">
        <v>8882291.54</v>
      </c>
      <c r="C14" s="6">
        <v>7739610.86</v>
      </c>
      <c r="D14" s="6">
        <v>1.086734799E7</v>
      </c>
      <c r="E14" s="6">
        <v>1142680.68</v>
      </c>
      <c r="F14" s="6">
        <v>1985056.45</v>
      </c>
      <c r="G14" s="6">
        <v>12.8647058572004</v>
      </c>
      <c r="H14" s="6">
        <v>2026.0</v>
      </c>
    </row>
    <row r="15">
      <c r="A15" s="29">
        <v>46054.0</v>
      </c>
      <c r="B15" s="6">
        <v>8953349.92</v>
      </c>
      <c r="C15" s="6">
        <v>7770569.34</v>
      </c>
      <c r="D15" s="6">
        <v>1.101949084E7</v>
      </c>
      <c r="E15" s="6">
        <v>1182780.58</v>
      </c>
      <c r="F15" s="6">
        <v>2066140.92</v>
      </c>
      <c r="G15" s="6">
        <v>13.2104808878061</v>
      </c>
      <c r="H15" s="6">
        <v>2026.0</v>
      </c>
    </row>
    <row r="16">
      <c r="A16" s="29">
        <v>46082.0</v>
      </c>
      <c r="B16" s="6">
        <v>9024976.7</v>
      </c>
      <c r="C16" s="6">
        <v>7801651.6</v>
      </c>
      <c r="D16" s="6">
        <v>1.117376375E7</v>
      </c>
      <c r="E16" s="6">
        <v>1223325.1</v>
      </c>
      <c r="F16" s="6">
        <v>2148787.05</v>
      </c>
      <c r="G16" s="6">
        <v>13.5548837483425</v>
      </c>
      <c r="H16" s="6">
        <v>2026.0</v>
      </c>
    </row>
    <row r="17">
      <c r="A17" s="29">
        <v>46113.0</v>
      </c>
      <c r="B17" s="6">
        <v>9097176.54</v>
      </c>
      <c r="C17" s="6">
        <v>7832858.17</v>
      </c>
      <c r="D17" s="6">
        <v>1.133019642E7</v>
      </c>
      <c r="E17" s="6">
        <v>1264318.37</v>
      </c>
      <c r="F17" s="6">
        <v>2233019.88</v>
      </c>
      <c r="G17" s="6">
        <v>13.8979205739367</v>
      </c>
      <c r="H17" s="6">
        <v>2026.0</v>
      </c>
    </row>
    <row r="18">
      <c r="A18" s="29">
        <v>46143.0</v>
      </c>
      <c r="B18" s="6">
        <v>9169953.86</v>
      </c>
      <c r="C18" s="6">
        <v>7864189.66</v>
      </c>
      <c r="D18" s="6">
        <v>1.148881915E7</v>
      </c>
      <c r="E18" s="6">
        <v>1305764.2</v>
      </c>
      <c r="F18" s="6">
        <v>2318865.29</v>
      </c>
      <c r="G18" s="6">
        <v>14.2395940038023</v>
      </c>
      <c r="H18" s="6">
        <v>2026.0</v>
      </c>
    </row>
    <row r="19">
      <c r="A19" s="29">
        <v>46174.0</v>
      </c>
      <c r="B19" s="6">
        <v>9243313.55</v>
      </c>
      <c r="C19" s="6">
        <v>7895646.41</v>
      </c>
      <c r="D19" s="6">
        <v>1.164966263E7</v>
      </c>
      <c r="E19" s="6">
        <v>1347667.14</v>
      </c>
      <c r="F19" s="6">
        <v>2406349.08</v>
      </c>
      <c r="G19" s="6">
        <v>14.5799137150335</v>
      </c>
      <c r="H19" s="6">
        <v>2026.0</v>
      </c>
    </row>
    <row r="20">
      <c r="A20" s="29">
        <v>46204.0</v>
      </c>
      <c r="B20" s="6">
        <v>9431777.41</v>
      </c>
      <c r="C20" s="6">
        <v>8015414.86</v>
      </c>
      <c r="D20" s="6">
        <v>1.195292875E7</v>
      </c>
      <c r="E20" s="6">
        <v>1416362.55</v>
      </c>
      <c r="F20" s="6">
        <v>2521151.34</v>
      </c>
      <c r="G20" s="6">
        <v>15.0169208668804</v>
      </c>
      <c r="H20" s="6">
        <v>2026.0</v>
      </c>
    </row>
    <row r="21">
      <c r="A21" s="29">
        <v>46235.0</v>
      </c>
      <c r="B21" s="6">
        <v>9507231.63</v>
      </c>
      <c r="C21" s="6">
        <v>8047476.46</v>
      </c>
      <c r="D21" s="6">
        <v>1.212026972E7</v>
      </c>
      <c r="E21" s="6">
        <v>1459755.17</v>
      </c>
      <c r="F21" s="6">
        <v>2613038.09</v>
      </c>
      <c r="G21" s="6">
        <v>15.3541559395035</v>
      </c>
      <c r="H21" s="6">
        <v>2026.0</v>
      </c>
    </row>
    <row r="22">
      <c r="A22" s="29">
        <v>46266.0</v>
      </c>
      <c r="B22" s="6">
        <v>9583289.45</v>
      </c>
      <c r="C22" s="6">
        <v>8079666.38</v>
      </c>
      <c r="D22" s="6">
        <v>1.228995351E7</v>
      </c>
      <c r="E22" s="6">
        <v>1503623.07</v>
      </c>
      <c r="F22" s="6">
        <v>2706664.06</v>
      </c>
      <c r="G22" s="6">
        <v>15.6900517076629</v>
      </c>
      <c r="H22" s="6">
        <v>2026.0</v>
      </c>
    </row>
    <row r="23">
      <c r="A23" s="29">
        <v>46296.0</v>
      </c>
      <c r="B23" s="6">
        <v>9542667.95</v>
      </c>
      <c r="C23" s="6">
        <v>8022736.69</v>
      </c>
      <c r="D23" s="6">
        <v>1.231587207E7</v>
      </c>
      <c r="E23" s="6">
        <v>1519931.26</v>
      </c>
      <c r="F23" s="6">
        <v>2773204.12</v>
      </c>
      <c r="G23" s="6">
        <v>15.9277391601999</v>
      </c>
      <c r="H23" s="6">
        <v>2026.0</v>
      </c>
    </row>
    <row r="24">
      <c r="A24" s="29">
        <v>46327.0</v>
      </c>
      <c r="B24" s="6">
        <v>9619009.33</v>
      </c>
      <c r="C24" s="6">
        <v>8054827.68</v>
      </c>
      <c r="D24" s="6">
        <v>1.248829431E7</v>
      </c>
      <c r="E24" s="6">
        <v>1564181.65</v>
      </c>
      <c r="F24" s="6">
        <v>2869284.98</v>
      </c>
      <c r="G24" s="6">
        <v>16.2613591102526</v>
      </c>
      <c r="H24" s="6">
        <v>2026.0</v>
      </c>
    </row>
    <row r="25">
      <c r="A25" s="29">
        <v>46357.0</v>
      </c>
      <c r="B25" s="6">
        <v>9695961.4</v>
      </c>
      <c r="C25" s="6">
        <v>8087046.96</v>
      </c>
      <c r="D25" s="6">
        <v>1.266313036E7</v>
      </c>
      <c r="E25" s="6">
        <v>1608914.44</v>
      </c>
      <c r="F25" s="6">
        <v>2967168.96</v>
      </c>
      <c r="G25" s="6">
        <v>16.5936555811784</v>
      </c>
      <c r="H25" s="6">
        <v>2026.0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25"/>
    <col customWidth="1" min="3" max="3" width="17.0"/>
    <col customWidth="1" min="6" max="6" width="17.75"/>
    <col customWidth="1" min="7" max="7" width="25.5"/>
  </cols>
  <sheetData>
    <row r="1">
      <c r="A1" s="4" t="s">
        <v>5</v>
      </c>
      <c r="B1" s="4" t="s">
        <v>6</v>
      </c>
      <c r="C1" s="4" t="s">
        <v>26</v>
      </c>
    </row>
    <row r="2">
      <c r="A2" s="5">
        <v>45658.0</v>
      </c>
      <c r="B2" s="6" t="s">
        <v>22</v>
      </c>
      <c r="C2" s="6">
        <v>1485250.0</v>
      </c>
    </row>
    <row r="3">
      <c r="A3" s="5">
        <v>45658.0</v>
      </c>
      <c r="B3" s="6" t="s">
        <v>20</v>
      </c>
      <c r="C3" s="6">
        <v>1165666.6666658</v>
      </c>
    </row>
    <row r="4">
      <c r="A4" s="5">
        <v>45658.0</v>
      </c>
      <c r="B4" s="6" t="s">
        <v>21</v>
      </c>
      <c r="C4" s="6">
        <v>1111500.0</v>
      </c>
    </row>
    <row r="5">
      <c r="A5" s="5">
        <v>45658.0</v>
      </c>
      <c r="B5" s="6" t="s">
        <v>11</v>
      </c>
      <c r="C5" s="6">
        <v>1073583.3333342</v>
      </c>
    </row>
    <row r="6">
      <c r="A6" s="5">
        <v>45658.0</v>
      </c>
      <c r="B6" s="6" t="s">
        <v>23</v>
      </c>
      <c r="C6" s="6">
        <v>1061125.0</v>
      </c>
    </row>
    <row r="7">
      <c r="A7" s="5">
        <v>45689.0</v>
      </c>
      <c r="B7" s="6" t="s">
        <v>22</v>
      </c>
      <c r="C7" s="6">
        <v>1416458.3333329</v>
      </c>
    </row>
    <row r="8">
      <c r="A8" s="5">
        <v>45689.0</v>
      </c>
      <c r="B8" s="6" t="s">
        <v>20</v>
      </c>
      <c r="C8" s="6">
        <v>1160250.0</v>
      </c>
    </row>
    <row r="9">
      <c r="A9" s="5">
        <v>45689.0</v>
      </c>
      <c r="B9" s="6" t="s">
        <v>21</v>
      </c>
      <c r="C9" s="6">
        <v>1108250.0</v>
      </c>
    </row>
    <row r="10">
      <c r="A10" s="5">
        <v>45689.0</v>
      </c>
      <c r="B10" s="6" t="s">
        <v>23</v>
      </c>
      <c r="C10" s="6">
        <v>1040000.0</v>
      </c>
    </row>
    <row r="11">
      <c r="A11" s="5">
        <v>45689.0</v>
      </c>
      <c r="B11" s="6" t="s">
        <v>11</v>
      </c>
      <c r="C11" s="6">
        <v>1029166.6666671</v>
      </c>
    </row>
    <row r="12">
      <c r="A12" s="5">
        <v>45717.0</v>
      </c>
      <c r="B12" s="6" t="s">
        <v>22</v>
      </c>
      <c r="C12" s="6">
        <v>1439750.0</v>
      </c>
    </row>
    <row r="13">
      <c r="A13" s="5">
        <v>45717.0</v>
      </c>
      <c r="B13" s="6" t="s">
        <v>20</v>
      </c>
      <c r="C13" s="6">
        <v>1161333.3333329</v>
      </c>
    </row>
    <row r="14">
      <c r="A14" s="5">
        <v>45717.0</v>
      </c>
      <c r="B14" s="6" t="s">
        <v>21</v>
      </c>
      <c r="C14" s="6">
        <v>1085500.0</v>
      </c>
    </row>
    <row r="15">
      <c r="A15" s="5">
        <v>45717.0</v>
      </c>
      <c r="B15" s="6" t="s">
        <v>23</v>
      </c>
      <c r="C15" s="6">
        <v>1040000.0</v>
      </c>
    </row>
    <row r="16">
      <c r="A16" s="5">
        <v>45717.0</v>
      </c>
      <c r="B16" s="6" t="s">
        <v>11</v>
      </c>
      <c r="C16" s="6">
        <v>1024833.3333329</v>
      </c>
    </row>
    <row r="17">
      <c r="A17" s="5">
        <v>45748.0</v>
      </c>
      <c r="B17" s="6" t="s">
        <v>22</v>
      </c>
      <c r="C17" s="6">
        <v>1437583.3333329</v>
      </c>
    </row>
    <row r="18">
      <c r="A18" s="5">
        <v>45748.0</v>
      </c>
      <c r="B18" s="6" t="s">
        <v>20</v>
      </c>
      <c r="C18" s="6">
        <v>1191125.0</v>
      </c>
    </row>
    <row r="19">
      <c r="A19" s="5">
        <v>45748.0</v>
      </c>
      <c r="B19" s="6" t="s">
        <v>21</v>
      </c>
      <c r="C19" s="6">
        <v>1087666.6666671</v>
      </c>
    </row>
    <row r="20">
      <c r="A20" s="5">
        <v>45748.0</v>
      </c>
      <c r="B20" s="6" t="s">
        <v>23</v>
      </c>
      <c r="C20" s="6">
        <v>1040000.0</v>
      </c>
    </row>
    <row r="21">
      <c r="A21" s="5">
        <v>45748.0</v>
      </c>
      <c r="B21" s="6" t="s">
        <v>11</v>
      </c>
      <c r="C21" s="6">
        <v>1029708.3333329</v>
      </c>
    </row>
    <row r="22">
      <c r="A22" s="5">
        <v>45778.0</v>
      </c>
      <c r="B22" s="6" t="s">
        <v>22</v>
      </c>
      <c r="C22" s="6">
        <v>1437583.3333329</v>
      </c>
    </row>
    <row r="23">
      <c r="A23" s="5">
        <v>45778.0</v>
      </c>
      <c r="B23" s="6" t="s">
        <v>20</v>
      </c>
      <c r="C23" s="6">
        <v>1165666.6666658</v>
      </c>
    </row>
    <row r="24">
      <c r="A24" s="5">
        <v>45778.0</v>
      </c>
      <c r="B24" s="6" t="s">
        <v>21</v>
      </c>
      <c r="C24" s="6">
        <v>1108250.0</v>
      </c>
    </row>
    <row r="25">
      <c r="A25" s="5">
        <v>45778.0</v>
      </c>
      <c r="B25" s="6" t="s">
        <v>23</v>
      </c>
      <c r="C25" s="6">
        <v>1087125.0</v>
      </c>
    </row>
    <row r="26">
      <c r="A26" s="5">
        <v>45778.0</v>
      </c>
      <c r="B26" s="6" t="s">
        <v>11</v>
      </c>
      <c r="C26" s="6">
        <v>1056249.9999987</v>
      </c>
    </row>
    <row r="27">
      <c r="A27" s="5">
        <v>45809.0</v>
      </c>
      <c r="B27" s="6" t="s">
        <v>22</v>
      </c>
      <c r="C27" s="6">
        <v>1460875.0</v>
      </c>
    </row>
    <row r="28">
      <c r="A28" s="5">
        <v>45809.0</v>
      </c>
      <c r="B28" s="6" t="s">
        <v>20</v>
      </c>
      <c r="C28" s="6">
        <v>1192208.3333342</v>
      </c>
    </row>
    <row r="29">
      <c r="A29" s="5">
        <v>45809.0</v>
      </c>
      <c r="B29" s="6" t="s">
        <v>21</v>
      </c>
      <c r="C29" s="6">
        <v>1059500.0</v>
      </c>
    </row>
    <row r="30">
      <c r="A30" s="5">
        <v>45809.0</v>
      </c>
      <c r="B30" s="6" t="s">
        <v>23</v>
      </c>
      <c r="C30" s="6">
        <v>1018875.0</v>
      </c>
    </row>
    <row r="31">
      <c r="A31" s="5">
        <v>45809.0</v>
      </c>
      <c r="B31" s="6" t="s">
        <v>11</v>
      </c>
      <c r="C31" s="6">
        <v>980958.3333329</v>
      </c>
    </row>
    <row r="32">
      <c r="A32" s="5">
        <v>45839.0</v>
      </c>
      <c r="B32" s="6" t="s">
        <v>22</v>
      </c>
      <c r="C32" s="6">
        <v>1482000.0</v>
      </c>
    </row>
    <row r="33">
      <c r="A33" s="5">
        <v>45839.0</v>
      </c>
      <c r="B33" s="6" t="s">
        <v>20</v>
      </c>
      <c r="C33" s="6">
        <v>1252333.3333342</v>
      </c>
    </row>
    <row r="34">
      <c r="A34" s="5">
        <v>45839.0</v>
      </c>
      <c r="B34" s="6" t="s">
        <v>21</v>
      </c>
      <c r="C34" s="6">
        <v>1128833.3333329</v>
      </c>
    </row>
    <row r="35">
      <c r="A35" s="5">
        <v>45839.0</v>
      </c>
      <c r="B35" s="6" t="s">
        <v>23</v>
      </c>
      <c r="C35" s="6">
        <v>1081708.3333329</v>
      </c>
    </row>
    <row r="36">
      <c r="A36" s="5">
        <v>45839.0</v>
      </c>
      <c r="B36" s="6" t="s">
        <v>11</v>
      </c>
      <c r="C36" s="6">
        <v>1073041.6666671</v>
      </c>
    </row>
    <row r="37">
      <c r="A37" s="5">
        <v>45870.0</v>
      </c>
      <c r="B37" s="6" t="s">
        <v>22</v>
      </c>
      <c r="C37" s="6">
        <v>1485250.0</v>
      </c>
    </row>
    <row r="38">
      <c r="A38" s="5">
        <v>45870.0</v>
      </c>
      <c r="B38" s="6" t="s">
        <v>20</v>
      </c>
      <c r="C38" s="6">
        <v>1253416.6666671</v>
      </c>
    </row>
    <row r="39">
      <c r="A39" s="5">
        <v>45870.0</v>
      </c>
      <c r="B39" s="6" t="s">
        <v>21</v>
      </c>
      <c r="C39" s="6">
        <v>1175416.6666671</v>
      </c>
    </row>
    <row r="40">
      <c r="A40" s="5">
        <v>45870.0</v>
      </c>
      <c r="B40" s="6" t="s">
        <v>11</v>
      </c>
      <c r="C40" s="6">
        <v>1121249.9999987</v>
      </c>
    </row>
    <row r="41">
      <c r="A41" s="5">
        <v>45870.0</v>
      </c>
      <c r="B41" s="6" t="s">
        <v>23</v>
      </c>
      <c r="C41" s="6">
        <v>1087125.0</v>
      </c>
    </row>
    <row r="42">
      <c r="A42" s="5">
        <v>45901.0</v>
      </c>
      <c r="B42" s="6" t="s">
        <v>22</v>
      </c>
      <c r="C42" s="6">
        <v>1482000.0</v>
      </c>
    </row>
    <row r="43">
      <c r="A43" s="5">
        <v>45901.0</v>
      </c>
      <c r="B43" s="6" t="s">
        <v>20</v>
      </c>
      <c r="C43" s="6">
        <v>1277791.6666671</v>
      </c>
    </row>
    <row r="44">
      <c r="A44" s="5">
        <v>45901.0</v>
      </c>
      <c r="B44" s="6" t="s">
        <v>21</v>
      </c>
      <c r="C44" s="6">
        <v>1177583.3333329</v>
      </c>
    </row>
    <row r="45">
      <c r="A45" s="5">
        <v>45901.0</v>
      </c>
      <c r="B45" s="6" t="s">
        <v>11</v>
      </c>
      <c r="C45" s="6">
        <v>1170541.6666671</v>
      </c>
    </row>
    <row r="46">
      <c r="A46" s="5">
        <v>45901.0</v>
      </c>
      <c r="B46" s="6" t="s">
        <v>23</v>
      </c>
      <c r="C46" s="6">
        <v>1128291.6666671</v>
      </c>
    </row>
    <row r="47">
      <c r="A47" s="5">
        <v>45931.0</v>
      </c>
      <c r="B47" s="6" t="s">
        <v>22</v>
      </c>
      <c r="C47" s="6">
        <v>1511791.6666658</v>
      </c>
    </row>
    <row r="48">
      <c r="A48" s="5">
        <v>45931.0</v>
      </c>
      <c r="B48" s="6" t="s">
        <v>20</v>
      </c>
      <c r="C48" s="6">
        <v>1252333.3333342</v>
      </c>
    </row>
    <row r="49">
      <c r="A49" s="5">
        <v>45931.0</v>
      </c>
      <c r="B49" s="6" t="s">
        <v>21</v>
      </c>
      <c r="C49" s="6">
        <v>1154833.3333329</v>
      </c>
    </row>
    <row r="50">
      <c r="A50" s="5">
        <v>45931.0</v>
      </c>
      <c r="B50" s="6" t="s">
        <v>11</v>
      </c>
      <c r="C50" s="6">
        <v>1121791.6666671</v>
      </c>
    </row>
    <row r="51">
      <c r="A51" s="5">
        <v>45931.0</v>
      </c>
      <c r="B51" s="6" t="s">
        <v>23</v>
      </c>
      <c r="C51" s="6">
        <v>1107708.3333329</v>
      </c>
    </row>
    <row r="52">
      <c r="A52" s="5">
        <v>45962.0</v>
      </c>
      <c r="B52" s="6" t="s">
        <v>22</v>
      </c>
      <c r="C52" s="6">
        <v>1464125.0</v>
      </c>
    </row>
    <row r="53">
      <c r="A53" s="5">
        <v>45962.0</v>
      </c>
      <c r="B53" s="6" t="s">
        <v>20</v>
      </c>
      <c r="C53" s="6">
        <v>1227958.3333329</v>
      </c>
    </row>
    <row r="54">
      <c r="A54" s="5">
        <v>45962.0</v>
      </c>
      <c r="B54" s="6" t="s">
        <v>23</v>
      </c>
      <c r="C54" s="6">
        <v>1108250.0</v>
      </c>
    </row>
    <row r="55">
      <c r="A55" s="5">
        <v>45962.0</v>
      </c>
      <c r="B55" s="6" t="s">
        <v>11</v>
      </c>
      <c r="C55" s="6">
        <v>1095250.0000013</v>
      </c>
    </row>
    <row r="56">
      <c r="A56" s="5">
        <v>45962.0</v>
      </c>
      <c r="B56" s="6" t="s">
        <v>21</v>
      </c>
      <c r="C56" s="6">
        <v>1085500.0</v>
      </c>
    </row>
    <row r="57">
      <c r="A57" s="5">
        <v>45992.0</v>
      </c>
      <c r="B57" s="6" t="s">
        <v>22</v>
      </c>
      <c r="C57" s="6">
        <v>1464125.0</v>
      </c>
    </row>
    <row r="58">
      <c r="A58" s="5">
        <v>45992.0</v>
      </c>
      <c r="B58" s="6" t="s">
        <v>20</v>
      </c>
      <c r="C58" s="6">
        <v>1212250.0</v>
      </c>
    </row>
    <row r="59">
      <c r="A59" s="5">
        <v>45992.0</v>
      </c>
      <c r="B59" s="6" t="s">
        <v>21</v>
      </c>
      <c r="C59" s="6">
        <v>1154833.3333329</v>
      </c>
    </row>
    <row r="60">
      <c r="A60" s="5">
        <v>45992.0</v>
      </c>
      <c r="B60" s="6" t="s">
        <v>11</v>
      </c>
      <c r="C60" s="6">
        <v>1121791.6666671</v>
      </c>
    </row>
    <row r="61">
      <c r="A61" s="5">
        <v>45992.0</v>
      </c>
      <c r="B61" s="6" t="s">
        <v>23</v>
      </c>
      <c r="C61" s="6">
        <v>1081166.6666671</v>
      </c>
    </row>
    <row r="62">
      <c r="A62" s="5">
        <v>46023.0</v>
      </c>
      <c r="B62" s="6" t="s">
        <v>22</v>
      </c>
      <c r="C62" s="6">
        <v>1626885.0</v>
      </c>
    </row>
    <row r="63">
      <c r="A63" s="5">
        <v>46023.0</v>
      </c>
      <c r="B63" s="6" t="s">
        <v>20</v>
      </c>
      <c r="C63" s="6">
        <v>1310546.25</v>
      </c>
    </row>
    <row r="64">
      <c r="A64" s="5">
        <v>46023.0</v>
      </c>
      <c r="B64" s="6" t="s">
        <v>11</v>
      </c>
      <c r="C64" s="6">
        <v>1255312.5</v>
      </c>
    </row>
    <row r="65">
      <c r="A65" s="5">
        <v>46023.0</v>
      </c>
      <c r="B65" s="6" t="s">
        <v>21</v>
      </c>
      <c r="C65" s="6">
        <v>1216258.3333329</v>
      </c>
    </row>
    <row r="66">
      <c r="A66" s="5">
        <v>46023.0</v>
      </c>
      <c r="B66" s="6" t="s">
        <v>23</v>
      </c>
      <c r="C66" s="6">
        <v>1210679.1666671</v>
      </c>
    </row>
    <row r="67">
      <c r="A67" s="5">
        <v>46054.0</v>
      </c>
      <c r="B67" s="6" t="s">
        <v>22</v>
      </c>
      <c r="C67" s="6">
        <v>1648643.75</v>
      </c>
    </row>
    <row r="68">
      <c r="A68" s="5">
        <v>46054.0</v>
      </c>
      <c r="B68" s="6" t="s">
        <v>20</v>
      </c>
      <c r="C68" s="6">
        <v>1289903.3333342</v>
      </c>
    </row>
    <row r="69">
      <c r="A69" s="5">
        <v>46054.0</v>
      </c>
      <c r="B69" s="6" t="s">
        <v>11</v>
      </c>
      <c r="C69" s="6">
        <v>1255312.5</v>
      </c>
    </row>
    <row r="70">
      <c r="A70" s="5">
        <v>46054.0</v>
      </c>
      <c r="B70" s="6" t="s">
        <v>21</v>
      </c>
      <c r="C70" s="6">
        <v>1237459.1666671</v>
      </c>
    </row>
    <row r="71">
      <c r="A71" s="5">
        <v>46054.0</v>
      </c>
      <c r="B71" s="6" t="s">
        <v>23</v>
      </c>
      <c r="C71" s="6">
        <v>1210679.1666671</v>
      </c>
    </row>
    <row r="72">
      <c r="A72" s="5">
        <v>46082.0</v>
      </c>
      <c r="B72" s="6" t="s">
        <v>22</v>
      </c>
      <c r="C72" s="6">
        <v>1626885.0</v>
      </c>
    </row>
    <row r="73">
      <c r="A73" s="5">
        <v>46082.0</v>
      </c>
      <c r="B73" s="6" t="s">
        <v>20</v>
      </c>
      <c r="C73" s="6">
        <v>1311662.0833342</v>
      </c>
    </row>
    <row r="74">
      <c r="A74" s="5">
        <v>46082.0</v>
      </c>
      <c r="B74" s="6" t="s">
        <v>21</v>
      </c>
      <c r="C74" s="6">
        <v>1260891.6666671</v>
      </c>
    </row>
    <row r="75">
      <c r="A75" s="5">
        <v>46082.0</v>
      </c>
      <c r="B75" s="6" t="s">
        <v>23</v>
      </c>
      <c r="C75" s="6">
        <v>1183899.1666671</v>
      </c>
    </row>
    <row r="76">
      <c r="A76" s="5">
        <v>46082.0</v>
      </c>
      <c r="B76" s="6" t="s">
        <v>11</v>
      </c>
      <c r="C76" s="6">
        <v>1177762.0833329</v>
      </c>
    </row>
    <row r="77">
      <c r="A77" s="5">
        <v>46113.0</v>
      </c>
      <c r="B77" s="6" t="s">
        <v>22</v>
      </c>
      <c r="C77" s="6">
        <v>1626885.0</v>
      </c>
    </row>
    <row r="78">
      <c r="A78" s="5">
        <v>46113.0</v>
      </c>
      <c r="B78" s="6" t="s">
        <v>20</v>
      </c>
      <c r="C78" s="6">
        <v>1317241.25</v>
      </c>
    </row>
    <row r="79">
      <c r="A79" s="5">
        <v>46113.0</v>
      </c>
      <c r="B79" s="6" t="s">
        <v>23</v>
      </c>
      <c r="C79" s="6">
        <v>1258660.0</v>
      </c>
    </row>
    <row r="80">
      <c r="A80" s="5">
        <v>46113.0</v>
      </c>
      <c r="B80" s="6" t="s">
        <v>21</v>
      </c>
      <c r="C80" s="6">
        <v>1239690.8333329</v>
      </c>
    </row>
    <row r="81">
      <c r="A81" s="5">
        <v>46113.0</v>
      </c>
      <c r="B81" s="6" t="s">
        <v>11</v>
      </c>
      <c r="C81" s="6">
        <v>1177762.0833329</v>
      </c>
    </row>
    <row r="82">
      <c r="A82" s="5">
        <v>46143.0</v>
      </c>
      <c r="B82" s="6" t="s">
        <v>22</v>
      </c>
      <c r="C82" s="6">
        <v>1626885.0</v>
      </c>
    </row>
    <row r="83">
      <c r="A83" s="5">
        <v>46143.0</v>
      </c>
      <c r="B83" s="6" t="s">
        <v>20</v>
      </c>
      <c r="C83" s="6">
        <v>1316125.4166671</v>
      </c>
    </row>
    <row r="84">
      <c r="A84" s="5">
        <v>46143.0</v>
      </c>
      <c r="B84" s="6" t="s">
        <v>21</v>
      </c>
      <c r="C84" s="6">
        <v>1210679.1666671</v>
      </c>
    </row>
    <row r="85">
      <c r="A85" s="5">
        <v>46143.0</v>
      </c>
      <c r="B85" s="6" t="s">
        <v>11</v>
      </c>
      <c r="C85" s="6">
        <v>1205657.9166671</v>
      </c>
    </row>
    <row r="86">
      <c r="A86" s="5">
        <v>46143.0</v>
      </c>
      <c r="B86" s="6" t="s">
        <v>23</v>
      </c>
      <c r="C86" s="6">
        <v>1183899.1666671</v>
      </c>
    </row>
    <row r="87">
      <c r="A87" s="5">
        <v>46174.0</v>
      </c>
      <c r="B87" s="6" t="s">
        <v>22</v>
      </c>
      <c r="C87" s="6">
        <v>1626885.0</v>
      </c>
    </row>
    <row r="88">
      <c r="A88" s="5">
        <v>46174.0</v>
      </c>
      <c r="B88" s="6" t="s">
        <v>20</v>
      </c>
      <c r="C88" s="6">
        <v>1333420.8333342</v>
      </c>
    </row>
    <row r="89">
      <c r="A89" s="5">
        <v>46174.0</v>
      </c>
      <c r="B89" s="6" t="s">
        <v>21</v>
      </c>
      <c r="C89" s="6">
        <v>1257544.1666671</v>
      </c>
    </row>
    <row r="90">
      <c r="A90" s="5">
        <v>46174.0</v>
      </c>
      <c r="B90" s="6" t="s">
        <v>23</v>
      </c>
      <c r="C90" s="6">
        <v>1210121.25</v>
      </c>
    </row>
    <row r="91">
      <c r="A91" s="5">
        <v>46174.0</v>
      </c>
      <c r="B91" s="6" t="s">
        <v>11</v>
      </c>
      <c r="C91" s="6">
        <v>1205657.9166671</v>
      </c>
    </row>
    <row r="92">
      <c r="A92" s="5">
        <v>46204.0</v>
      </c>
      <c r="B92" s="6" t="s">
        <v>22</v>
      </c>
      <c r="C92" s="6">
        <v>1699972.0833329</v>
      </c>
    </row>
    <row r="93">
      <c r="A93" s="5">
        <v>46204.0</v>
      </c>
      <c r="B93" s="6" t="s">
        <v>20</v>
      </c>
      <c r="C93" s="6">
        <v>1427150.8333329</v>
      </c>
    </row>
    <row r="94">
      <c r="A94" s="5">
        <v>46204.0</v>
      </c>
      <c r="B94" s="6" t="s">
        <v>11</v>
      </c>
      <c r="C94" s="6">
        <v>1327841.6666658</v>
      </c>
    </row>
    <row r="95">
      <c r="A95" s="5">
        <v>46204.0</v>
      </c>
      <c r="B95" s="6" t="s">
        <v>21</v>
      </c>
      <c r="C95" s="6">
        <v>1282092.5</v>
      </c>
    </row>
    <row r="96">
      <c r="A96" s="5">
        <v>46204.0</v>
      </c>
      <c r="B96" s="6" t="s">
        <v>23</v>
      </c>
      <c r="C96" s="6">
        <v>1231880.0</v>
      </c>
    </row>
    <row r="97">
      <c r="A97" s="5">
        <v>46235.0</v>
      </c>
      <c r="B97" s="6" t="s">
        <v>22</v>
      </c>
      <c r="C97" s="6">
        <v>1699972.0833329</v>
      </c>
    </row>
    <row r="98">
      <c r="A98" s="5">
        <v>46235.0</v>
      </c>
      <c r="B98" s="6" t="s">
        <v>21</v>
      </c>
      <c r="C98" s="6">
        <v>1376938.3333329</v>
      </c>
    </row>
    <row r="99">
      <c r="A99" s="5">
        <v>46235.0</v>
      </c>
      <c r="B99" s="6" t="s">
        <v>20</v>
      </c>
      <c r="C99" s="6">
        <v>1364106.25</v>
      </c>
    </row>
    <row r="100">
      <c r="A100" s="5">
        <v>46235.0</v>
      </c>
      <c r="B100" s="6" t="s">
        <v>11</v>
      </c>
      <c r="C100" s="6">
        <v>1350158.3333329</v>
      </c>
    </row>
    <row r="101">
      <c r="A101" s="5">
        <v>46235.0</v>
      </c>
      <c r="B101" s="6" t="s">
        <v>23</v>
      </c>
      <c r="C101" s="6">
        <v>1253638.75</v>
      </c>
    </row>
    <row r="102">
      <c r="A102" s="5">
        <v>46266.0</v>
      </c>
      <c r="B102" s="6" t="s">
        <v>22</v>
      </c>
      <c r="C102" s="6">
        <v>1721730.8333329</v>
      </c>
    </row>
    <row r="103">
      <c r="A103" s="5">
        <v>46266.0</v>
      </c>
      <c r="B103" s="6" t="s">
        <v>20</v>
      </c>
      <c r="C103" s="6">
        <v>1412087.0833342</v>
      </c>
    </row>
    <row r="104">
      <c r="A104" s="5">
        <v>46266.0</v>
      </c>
      <c r="B104" s="6" t="s">
        <v>21</v>
      </c>
      <c r="C104" s="6">
        <v>1356853.3333329</v>
      </c>
    </row>
    <row r="105">
      <c r="A105" s="5">
        <v>46266.0</v>
      </c>
      <c r="B105" s="6" t="s">
        <v>11</v>
      </c>
      <c r="C105" s="6">
        <v>1301061.6666671</v>
      </c>
    </row>
    <row r="106">
      <c r="A106" s="5">
        <v>46266.0</v>
      </c>
      <c r="B106" s="6" t="s">
        <v>23</v>
      </c>
      <c r="C106" s="6">
        <v>1259217.9166671</v>
      </c>
    </row>
    <row r="107">
      <c r="A107" s="5">
        <v>46296.0</v>
      </c>
      <c r="B107" s="6" t="s">
        <v>22</v>
      </c>
      <c r="C107" s="6">
        <v>1699972.0833329</v>
      </c>
    </row>
    <row r="108">
      <c r="A108" s="5">
        <v>46296.0</v>
      </c>
      <c r="B108" s="6" t="s">
        <v>20</v>
      </c>
      <c r="C108" s="6">
        <v>1380285.8333329</v>
      </c>
    </row>
    <row r="109">
      <c r="A109" s="5">
        <v>46296.0</v>
      </c>
      <c r="B109" s="6" t="s">
        <v>21</v>
      </c>
      <c r="C109" s="6">
        <v>1332305.0</v>
      </c>
    </row>
    <row r="110">
      <c r="A110" s="5">
        <v>46296.0</v>
      </c>
      <c r="B110" s="6" t="s">
        <v>23</v>
      </c>
      <c r="C110" s="6">
        <v>1302177.5</v>
      </c>
    </row>
    <row r="111">
      <c r="A111" s="5">
        <v>46296.0</v>
      </c>
      <c r="B111" s="6" t="s">
        <v>11</v>
      </c>
      <c r="C111" s="6">
        <v>1255312.5</v>
      </c>
    </row>
    <row r="112">
      <c r="A112" s="5">
        <v>46327.0</v>
      </c>
      <c r="B112" s="6" t="s">
        <v>22</v>
      </c>
      <c r="C112" s="6">
        <v>1721730.8333329</v>
      </c>
    </row>
    <row r="113">
      <c r="A113" s="5">
        <v>46327.0</v>
      </c>
      <c r="B113" s="6" t="s">
        <v>20</v>
      </c>
      <c r="C113" s="6">
        <v>1412087.0833342</v>
      </c>
    </row>
    <row r="114">
      <c r="A114" s="5">
        <v>46327.0</v>
      </c>
      <c r="B114" s="6" t="s">
        <v>21</v>
      </c>
      <c r="C114" s="6">
        <v>1308872.5</v>
      </c>
    </row>
    <row r="115">
      <c r="A115" s="5">
        <v>46327.0</v>
      </c>
      <c r="B115" s="6" t="s">
        <v>23</v>
      </c>
      <c r="C115" s="6">
        <v>1280418.75</v>
      </c>
    </row>
    <row r="116">
      <c r="A116" s="5">
        <v>46327.0</v>
      </c>
      <c r="B116" s="6" t="s">
        <v>11</v>
      </c>
      <c r="C116" s="6">
        <v>1278187.0833329</v>
      </c>
    </row>
    <row r="117">
      <c r="A117" s="5">
        <v>46357.0</v>
      </c>
      <c r="B117" s="6" t="s">
        <v>22</v>
      </c>
      <c r="C117" s="6">
        <v>1727310.0</v>
      </c>
    </row>
    <row r="118">
      <c r="A118" s="5">
        <v>46357.0</v>
      </c>
      <c r="B118" s="6" t="s">
        <v>20</v>
      </c>
      <c r="C118" s="6">
        <v>1384749.1666658</v>
      </c>
    </row>
    <row r="119">
      <c r="A119" s="5">
        <v>46357.0</v>
      </c>
      <c r="B119" s="6" t="s">
        <v>21</v>
      </c>
      <c r="C119" s="6">
        <v>1308872.5</v>
      </c>
    </row>
    <row r="120">
      <c r="A120" s="5">
        <v>46357.0</v>
      </c>
      <c r="B120" s="6" t="s">
        <v>23</v>
      </c>
      <c r="C120" s="6">
        <v>1307756.6666671</v>
      </c>
    </row>
    <row r="121">
      <c r="A121" s="5">
        <v>46357.0</v>
      </c>
      <c r="B121" s="6" t="s">
        <v>11</v>
      </c>
      <c r="C121" s="6">
        <v>1300503.75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4.25"/>
    <col customWidth="1" min="3" max="3" width="11.0"/>
    <col customWidth="1" min="4" max="4" width="10.38"/>
    <col customWidth="1" min="5" max="5" width="11.88"/>
    <col customWidth="1" min="6" max="6" width="9.13"/>
    <col customWidth="1" min="11" max="11" width="17.75"/>
    <col customWidth="1" min="12" max="12" width="22.75"/>
    <col customWidth="1" min="16" max="16" width="17.75"/>
    <col customWidth="1" min="17" max="17" width="27.13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>
      <c r="A2" s="5">
        <v>45658.0</v>
      </c>
      <c r="B2" s="6" t="s">
        <v>11</v>
      </c>
      <c r="C2" s="6">
        <v>469800.0</v>
      </c>
      <c r="D2" s="6">
        <v>556733.14</v>
      </c>
      <c r="E2" s="6">
        <v>86933.14</v>
      </c>
      <c r="F2" s="6">
        <v>18.5043</v>
      </c>
    </row>
    <row r="3">
      <c r="A3" s="5">
        <v>45658.0</v>
      </c>
      <c r="B3" s="6" t="s">
        <v>20</v>
      </c>
      <c r="C3" s="6">
        <v>252000.0</v>
      </c>
      <c r="D3" s="6">
        <v>270680.3</v>
      </c>
      <c r="E3" s="6">
        <v>18680.3</v>
      </c>
      <c r="F3" s="6">
        <v>7.4128</v>
      </c>
    </row>
    <row r="4">
      <c r="A4" s="5">
        <v>45658.0</v>
      </c>
      <c r="B4" s="6" t="s">
        <v>21</v>
      </c>
      <c r="C4" s="6">
        <v>180000.0</v>
      </c>
      <c r="D4" s="6">
        <v>188861.5</v>
      </c>
      <c r="E4" s="6">
        <v>8861.5</v>
      </c>
      <c r="F4" s="6">
        <v>4.9231</v>
      </c>
    </row>
    <row r="5">
      <c r="A5" s="5">
        <v>45658.0</v>
      </c>
      <c r="B5" s="6" t="s">
        <v>22</v>
      </c>
      <c r="C5" s="6">
        <v>216000.0</v>
      </c>
      <c r="D5" s="6">
        <v>225790.35</v>
      </c>
      <c r="E5" s="6">
        <v>9790.35</v>
      </c>
      <c r="F5" s="6">
        <v>4.5326</v>
      </c>
    </row>
    <row r="6">
      <c r="A6" s="5">
        <v>45658.0</v>
      </c>
      <c r="B6" s="6" t="s">
        <v>23</v>
      </c>
      <c r="C6" s="6">
        <v>162000.0</v>
      </c>
      <c r="D6" s="6">
        <v>122311.5</v>
      </c>
      <c r="E6" s="6">
        <v>-39688.5</v>
      </c>
      <c r="F6" s="6">
        <v>-24.4991</v>
      </c>
    </row>
    <row r="7">
      <c r="A7" s="5">
        <v>45689.0</v>
      </c>
      <c r="B7" s="6" t="s">
        <v>11</v>
      </c>
      <c r="C7" s="6">
        <v>469800.0</v>
      </c>
      <c r="D7" s="6">
        <v>583440.56</v>
      </c>
      <c r="E7" s="6">
        <v>113640.56</v>
      </c>
      <c r="F7" s="6">
        <v>24.1891</v>
      </c>
    </row>
    <row r="8">
      <c r="A8" s="5">
        <v>45689.0</v>
      </c>
      <c r="B8" s="6" t="s">
        <v>20</v>
      </c>
      <c r="C8" s="6">
        <v>252000.0</v>
      </c>
      <c r="D8" s="6">
        <v>287571.24</v>
      </c>
      <c r="E8" s="6">
        <v>35571.24</v>
      </c>
      <c r="F8" s="6">
        <v>14.1156</v>
      </c>
    </row>
    <row r="9">
      <c r="A9" s="5">
        <v>45689.0</v>
      </c>
      <c r="B9" s="6" t="s">
        <v>22</v>
      </c>
      <c r="C9" s="6">
        <v>216000.0</v>
      </c>
      <c r="D9" s="6">
        <v>240771.1</v>
      </c>
      <c r="E9" s="6">
        <v>24771.1</v>
      </c>
      <c r="F9" s="6">
        <v>11.4681</v>
      </c>
    </row>
    <row r="10">
      <c r="A10" s="5">
        <v>45689.0</v>
      </c>
      <c r="B10" s="6" t="s">
        <v>21</v>
      </c>
      <c r="C10" s="6">
        <v>180000.0</v>
      </c>
      <c r="D10" s="6">
        <v>191752.82</v>
      </c>
      <c r="E10" s="6">
        <v>11752.82</v>
      </c>
      <c r="F10" s="6">
        <v>6.5293</v>
      </c>
    </row>
    <row r="11">
      <c r="A11" s="5">
        <v>45689.0</v>
      </c>
      <c r="B11" s="6" t="s">
        <v>23</v>
      </c>
      <c r="C11" s="6">
        <v>162000.0</v>
      </c>
      <c r="D11" s="6">
        <v>127208.88</v>
      </c>
      <c r="E11" s="6">
        <v>-34791.12</v>
      </c>
      <c r="F11" s="6">
        <v>-21.476</v>
      </c>
    </row>
    <row r="12">
      <c r="A12" s="5">
        <v>45717.0</v>
      </c>
      <c r="B12" s="6" t="s">
        <v>11</v>
      </c>
      <c r="C12" s="6">
        <v>469800.0</v>
      </c>
      <c r="D12" s="6">
        <v>602858.15</v>
      </c>
      <c r="E12" s="6">
        <v>133058.15</v>
      </c>
      <c r="F12" s="6">
        <v>28.3223</v>
      </c>
    </row>
    <row r="13">
      <c r="A13" s="5">
        <v>45717.0</v>
      </c>
      <c r="B13" s="6" t="s">
        <v>22</v>
      </c>
      <c r="C13" s="6">
        <v>216000.0</v>
      </c>
      <c r="D13" s="6">
        <v>238085.82</v>
      </c>
      <c r="E13" s="6">
        <v>22085.82</v>
      </c>
      <c r="F13" s="6">
        <v>10.2249</v>
      </c>
    </row>
    <row r="14">
      <c r="A14" s="5">
        <v>45717.0</v>
      </c>
      <c r="B14" s="6" t="s">
        <v>21</v>
      </c>
      <c r="C14" s="6">
        <v>180000.0</v>
      </c>
      <c r="D14" s="6">
        <v>188100.7</v>
      </c>
      <c r="E14" s="6">
        <v>8100.7</v>
      </c>
      <c r="F14" s="6">
        <v>4.5004</v>
      </c>
    </row>
    <row r="15">
      <c r="A15" s="5">
        <v>45717.0</v>
      </c>
      <c r="B15" s="6" t="s">
        <v>20</v>
      </c>
      <c r="C15" s="6">
        <v>252000.0</v>
      </c>
      <c r="D15" s="6">
        <v>258374.88</v>
      </c>
      <c r="E15" s="6">
        <v>6374.88</v>
      </c>
      <c r="F15" s="6">
        <v>2.5297</v>
      </c>
    </row>
    <row r="16">
      <c r="A16" s="5">
        <v>45717.0</v>
      </c>
      <c r="B16" s="6" t="s">
        <v>23</v>
      </c>
      <c r="C16" s="6">
        <v>162000.0</v>
      </c>
      <c r="D16" s="6">
        <v>131661.05</v>
      </c>
      <c r="E16" s="6">
        <v>-30338.95</v>
      </c>
      <c r="F16" s="6">
        <v>-18.7277</v>
      </c>
    </row>
    <row r="17">
      <c r="A17" s="5">
        <v>45748.0</v>
      </c>
      <c r="B17" s="6" t="s">
        <v>11</v>
      </c>
      <c r="C17" s="6">
        <v>469800.0</v>
      </c>
      <c r="D17" s="6">
        <v>606097.09</v>
      </c>
      <c r="E17" s="6">
        <v>136297.09</v>
      </c>
      <c r="F17" s="6">
        <v>29.0117</v>
      </c>
    </row>
    <row r="18">
      <c r="A18" s="5">
        <v>45748.0</v>
      </c>
      <c r="B18" s="6" t="s">
        <v>20</v>
      </c>
      <c r="C18" s="6">
        <v>252000.0</v>
      </c>
      <c r="D18" s="6">
        <v>266776.44</v>
      </c>
      <c r="E18" s="6">
        <v>14776.44</v>
      </c>
      <c r="F18" s="6">
        <v>5.8637</v>
      </c>
    </row>
    <row r="19">
      <c r="A19" s="5">
        <v>45748.0</v>
      </c>
      <c r="B19" s="6" t="s">
        <v>21</v>
      </c>
      <c r="C19" s="6">
        <v>180000.0</v>
      </c>
      <c r="D19" s="6">
        <v>187838.94</v>
      </c>
      <c r="E19" s="6">
        <v>7838.94</v>
      </c>
      <c r="F19" s="6">
        <v>4.355</v>
      </c>
    </row>
    <row r="20">
      <c r="A20" s="5">
        <v>45748.0</v>
      </c>
      <c r="B20" s="6" t="s">
        <v>22</v>
      </c>
      <c r="C20" s="6">
        <v>216000.0</v>
      </c>
      <c r="D20" s="6">
        <v>222588.49</v>
      </c>
      <c r="E20" s="6">
        <v>6588.49</v>
      </c>
      <c r="F20" s="6">
        <v>3.0502</v>
      </c>
    </row>
    <row r="21">
      <c r="A21" s="5">
        <v>45748.0</v>
      </c>
      <c r="B21" s="6" t="s">
        <v>23</v>
      </c>
      <c r="C21" s="6">
        <v>162000.0</v>
      </c>
      <c r="D21" s="6">
        <v>139475.86</v>
      </c>
      <c r="E21" s="6">
        <v>-22524.14</v>
      </c>
      <c r="F21" s="6">
        <v>-13.9038</v>
      </c>
    </row>
    <row r="22">
      <c r="A22" s="5">
        <v>45778.0</v>
      </c>
      <c r="B22" s="6" t="s">
        <v>11</v>
      </c>
      <c r="C22" s="6">
        <v>469800.0</v>
      </c>
      <c r="D22" s="6">
        <v>575304.08</v>
      </c>
      <c r="E22" s="6">
        <v>105504.08</v>
      </c>
      <c r="F22" s="6">
        <v>22.4572</v>
      </c>
    </row>
    <row r="23">
      <c r="A23" s="5">
        <v>45778.0</v>
      </c>
      <c r="B23" s="6" t="s">
        <v>20</v>
      </c>
      <c r="C23" s="6">
        <v>252000.0</v>
      </c>
      <c r="D23" s="6">
        <v>285052.96</v>
      </c>
      <c r="E23" s="6">
        <v>33052.96</v>
      </c>
      <c r="F23" s="6">
        <v>13.1163</v>
      </c>
    </row>
    <row r="24">
      <c r="A24" s="5">
        <v>45778.0</v>
      </c>
      <c r="B24" s="6" t="s">
        <v>21</v>
      </c>
      <c r="C24" s="6">
        <v>180000.0</v>
      </c>
      <c r="D24" s="6">
        <v>198270.59</v>
      </c>
      <c r="E24" s="6">
        <v>18270.59</v>
      </c>
      <c r="F24" s="6">
        <v>10.1503</v>
      </c>
    </row>
    <row r="25">
      <c r="A25" s="5">
        <v>45778.0</v>
      </c>
      <c r="B25" s="6" t="s">
        <v>22</v>
      </c>
      <c r="C25" s="6">
        <v>216000.0</v>
      </c>
      <c r="D25" s="6">
        <v>234133.93</v>
      </c>
      <c r="E25" s="6">
        <v>18133.93</v>
      </c>
      <c r="F25" s="6">
        <v>8.3953</v>
      </c>
    </row>
    <row r="26">
      <c r="A26" s="5">
        <v>45778.0</v>
      </c>
      <c r="B26" s="6" t="s">
        <v>23</v>
      </c>
      <c r="C26" s="6">
        <v>162000.0</v>
      </c>
      <c r="D26" s="6">
        <v>141273.13</v>
      </c>
      <c r="E26" s="6">
        <v>-20726.87</v>
      </c>
      <c r="F26" s="6">
        <v>-12.7944</v>
      </c>
    </row>
    <row r="27">
      <c r="A27" s="5">
        <v>45809.0</v>
      </c>
      <c r="B27" s="6" t="s">
        <v>11</v>
      </c>
      <c r="C27" s="6">
        <v>469800.0</v>
      </c>
      <c r="D27" s="6">
        <v>604390.72</v>
      </c>
      <c r="E27" s="6">
        <v>134590.72</v>
      </c>
      <c r="F27" s="6">
        <v>28.6485</v>
      </c>
    </row>
    <row r="28">
      <c r="A28" s="5">
        <v>45809.0</v>
      </c>
      <c r="B28" s="6" t="s">
        <v>22</v>
      </c>
      <c r="C28" s="6">
        <v>216000.0</v>
      </c>
      <c r="D28" s="6">
        <v>251594.11</v>
      </c>
      <c r="E28" s="6">
        <v>35594.11</v>
      </c>
      <c r="F28" s="6">
        <v>16.4788</v>
      </c>
    </row>
    <row r="29">
      <c r="A29" s="5">
        <v>45809.0</v>
      </c>
      <c r="B29" s="6" t="s">
        <v>20</v>
      </c>
      <c r="C29" s="6">
        <v>252000.0</v>
      </c>
      <c r="D29" s="6">
        <v>287821.28</v>
      </c>
      <c r="E29" s="6">
        <v>35821.28</v>
      </c>
      <c r="F29" s="6">
        <v>14.2148</v>
      </c>
    </row>
    <row r="30">
      <c r="A30" s="5">
        <v>45809.0</v>
      </c>
      <c r="B30" s="6" t="s">
        <v>21</v>
      </c>
      <c r="C30" s="6">
        <v>180000.0</v>
      </c>
      <c r="D30" s="6">
        <v>201313.24</v>
      </c>
      <c r="E30" s="6">
        <v>21313.24</v>
      </c>
      <c r="F30" s="6">
        <v>11.8407</v>
      </c>
    </row>
    <row r="31">
      <c r="A31" s="5">
        <v>45809.0</v>
      </c>
      <c r="B31" s="6" t="s">
        <v>23</v>
      </c>
      <c r="C31" s="6">
        <v>162000.0</v>
      </c>
      <c r="D31" s="6">
        <v>132002.04</v>
      </c>
      <c r="E31" s="6">
        <v>-29997.96</v>
      </c>
      <c r="F31" s="6">
        <v>-18.5173</v>
      </c>
    </row>
    <row r="32">
      <c r="A32" s="5">
        <v>45839.0</v>
      </c>
      <c r="B32" s="6" t="s">
        <v>11</v>
      </c>
      <c r="C32" s="6">
        <v>469800.0</v>
      </c>
      <c r="D32" s="6">
        <v>724794.73</v>
      </c>
      <c r="E32" s="6">
        <v>254994.73</v>
      </c>
      <c r="F32" s="6">
        <v>54.2773</v>
      </c>
    </row>
    <row r="33">
      <c r="A33" s="5">
        <v>45839.0</v>
      </c>
      <c r="B33" s="6" t="s">
        <v>20</v>
      </c>
      <c r="C33" s="6">
        <v>252000.0</v>
      </c>
      <c r="D33" s="6">
        <v>342579.58</v>
      </c>
      <c r="E33" s="6">
        <v>90579.58</v>
      </c>
      <c r="F33" s="6">
        <v>35.9443</v>
      </c>
    </row>
    <row r="34">
      <c r="A34" s="5">
        <v>45839.0</v>
      </c>
      <c r="B34" s="6" t="s">
        <v>21</v>
      </c>
      <c r="C34" s="6">
        <v>180000.0</v>
      </c>
      <c r="D34" s="6">
        <v>223722.45</v>
      </c>
      <c r="E34" s="6">
        <v>43722.45</v>
      </c>
      <c r="F34" s="6">
        <v>24.2903</v>
      </c>
    </row>
    <row r="35">
      <c r="A35" s="5">
        <v>45839.0</v>
      </c>
      <c r="B35" s="6" t="s">
        <v>22</v>
      </c>
      <c r="C35" s="6">
        <v>216000.0</v>
      </c>
      <c r="D35" s="6">
        <v>267101.67</v>
      </c>
      <c r="E35" s="6">
        <v>51101.67</v>
      </c>
      <c r="F35" s="6">
        <v>23.6582</v>
      </c>
    </row>
    <row r="36">
      <c r="A36" s="5">
        <v>45839.0</v>
      </c>
      <c r="B36" s="6" t="s">
        <v>23</v>
      </c>
      <c r="C36" s="6">
        <v>162000.0</v>
      </c>
      <c r="D36" s="6">
        <v>158114.26</v>
      </c>
      <c r="E36" s="6">
        <v>-3885.74</v>
      </c>
      <c r="F36" s="6">
        <v>-2.3986</v>
      </c>
    </row>
    <row r="37">
      <c r="A37" s="5">
        <v>45870.0</v>
      </c>
      <c r="B37" s="6" t="s">
        <v>11</v>
      </c>
      <c r="C37" s="6">
        <v>469800.0</v>
      </c>
      <c r="D37" s="6">
        <v>734328.11</v>
      </c>
      <c r="E37" s="6">
        <v>264528.11</v>
      </c>
      <c r="F37" s="6">
        <v>56.3065</v>
      </c>
    </row>
    <row r="38">
      <c r="A38" s="5">
        <v>45870.0</v>
      </c>
      <c r="B38" s="6" t="s">
        <v>21</v>
      </c>
      <c r="C38" s="6">
        <v>180000.0</v>
      </c>
      <c r="D38" s="6">
        <v>248865.1</v>
      </c>
      <c r="E38" s="6">
        <v>68865.1</v>
      </c>
      <c r="F38" s="6">
        <v>38.2584</v>
      </c>
    </row>
    <row r="39">
      <c r="A39" s="5">
        <v>45870.0</v>
      </c>
      <c r="B39" s="6" t="s">
        <v>20</v>
      </c>
      <c r="C39" s="6">
        <v>252000.0</v>
      </c>
      <c r="D39" s="6">
        <v>330936.26</v>
      </c>
      <c r="E39" s="6">
        <v>78936.26</v>
      </c>
      <c r="F39" s="6">
        <v>31.3239</v>
      </c>
    </row>
    <row r="40">
      <c r="A40" s="5">
        <v>45870.0</v>
      </c>
      <c r="B40" s="6" t="s">
        <v>22</v>
      </c>
      <c r="C40" s="6">
        <v>216000.0</v>
      </c>
      <c r="D40" s="6">
        <v>271470.27</v>
      </c>
      <c r="E40" s="6">
        <v>55470.27</v>
      </c>
      <c r="F40" s="6">
        <v>25.6807</v>
      </c>
    </row>
    <row r="41">
      <c r="A41" s="5">
        <v>45870.0</v>
      </c>
      <c r="B41" s="6" t="s">
        <v>23</v>
      </c>
      <c r="C41" s="6">
        <v>162000.0</v>
      </c>
      <c r="D41" s="6">
        <v>163161.56</v>
      </c>
      <c r="E41" s="6">
        <v>1161.56</v>
      </c>
      <c r="F41" s="6">
        <v>0.717</v>
      </c>
    </row>
    <row r="42">
      <c r="A42" s="5">
        <v>45901.0</v>
      </c>
      <c r="B42" s="6" t="s">
        <v>11</v>
      </c>
      <c r="C42" s="6">
        <v>469800.0</v>
      </c>
      <c r="D42" s="6">
        <v>700096.14</v>
      </c>
      <c r="E42" s="6">
        <v>230296.14</v>
      </c>
      <c r="F42" s="6">
        <v>49.02</v>
      </c>
    </row>
    <row r="43">
      <c r="A43" s="5">
        <v>45901.0</v>
      </c>
      <c r="B43" s="6" t="s">
        <v>20</v>
      </c>
      <c r="C43" s="6">
        <v>252000.0</v>
      </c>
      <c r="D43" s="6">
        <v>355079.46</v>
      </c>
      <c r="E43" s="6">
        <v>103079.46</v>
      </c>
      <c r="F43" s="6">
        <v>40.9045</v>
      </c>
    </row>
    <row r="44">
      <c r="A44" s="5">
        <v>45901.0</v>
      </c>
      <c r="B44" s="6" t="s">
        <v>22</v>
      </c>
      <c r="C44" s="6">
        <v>216000.0</v>
      </c>
      <c r="D44" s="6">
        <v>300625.57</v>
      </c>
      <c r="E44" s="6">
        <v>84625.57</v>
      </c>
      <c r="F44" s="6">
        <v>39.1785</v>
      </c>
    </row>
    <row r="45">
      <c r="A45" s="5">
        <v>45901.0</v>
      </c>
      <c r="B45" s="6" t="s">
        <v>21</v>
      </c>
      <c r="C45" s="6">
        <v>180000.0</v>
      </c>
      <c r="D45" s="6">
        <v>247515.86</v>
      </c>
      <c r="E45" s="6">
        <v>67515.86</v>
      </c>
      <c r="F45" s="6">
        <v>37.5088</v>
      </c>
    </row>
    <row r="46">
      <c r="A46" s="5">
        <v>45901.0</v>
      </c>
      <c r="B46" s="6" t="s">
        <v>23</v>
      </c>
      <c r="C46" s="6">
        <v>162000.0</v>
      </c>
      <c r="D46" s="6">
        <v>148967.26</v>
      </c>
      <c r="E46" s="6">
        <v>-13032.74</v>
      </c>
      <c r="F46" s="6">
        <v>-8.0449</v>
      </c>
    </row>
    <row r="47">
      <c r="A47" s="5">
        <v>45931.0</v>
      </c>
      <c r="B47" s="6" t="s">
        <v>11</v>
      </c>
      <c r="C47" s="6">
        <v>469800.0</v>
      </c>
      <c r="D47" s="6">
        <v>627951.47</v>
      </c>
      <c r="E47" s="6">
        <v>158151.47</v>
      </c>
      <c r="F47" s="6">
        <v>33.6636</v>
      </c>
    </row>
    <row r="48">
      <c r="A48" s="5">
        <v>45931.0</v>
      </c>
      <c r="B48" s="6" t="s">
        <v>21</v>
      </c>
      <c r="C48" s="6">
        <v>180000.0</v>
      </c>
      <c r="D48" s="6">
        <v>236866.65</v>
      </c>
      <c r="E48" s="6">
        <v>56866.65</v>
      </c>
      <c r="F48" s="6">
        <v>31.5926</v>
      </c>
    </row>
    <row r="49">
      <c r="A49" s="5">
        <v>45931.0</v>
      </c>
      <c r="B49" s="6" t="s">
        <v>22</v>
      </c>
      <c r="C49" s="6">
        <v>216000.0</v>
      </c>
      <c r="D49" s="6">
        <v>271863.59</v>
      </c>
      <c r="E49" s="6">
        <v>55863.59</v>
      </c>
      <c r="F49" s="6">
        <v>25.8628</v>
      </c>
    </row>
    <row r="50">
      <c r="A50" s="5">
        <v>45931.0</v>
      </c>
      <c r="B50" s="6" t="s">
        <v>20</v>
      </c>
      <c r="C50" s="6">
        <v>252000.0</v>
      </c>
      <c r="D50" s="6">
        <v>299798.27</v>
      </c>
      <c r="E50" s="6">
        <v>47798.27</v>
      </c>
      <c r="F50" s="6">
        <v>18.9676</v>
      </c>
    </row>
    <row r="51">
      <c r="A51" s="5">
        <v>45931.0</v>
      </c>
      <c r="B51" s="6" t="s">
        <v>23</v>
      </c>
      <c r="C51" s="6">
        <v>162000.0</v>
      </c>
      <c r="D51" s="6">
        <v>144707.79</v>
      </c>
      <c r="E51" s="6">
        <v>-17292.21</v>
      </c>
      <c r="F51" s="6">
        <v>-10.6742</v>
      </c>
    </row>
    <row r="52">
      <c r="A52" s="5">
        <v>45962.0</v>
      </c>
      <c r="B52" s="6" t="s">
        <v>11</v>
      </c>
      <c r="C52" s="6">
        <v>469800.0</v>
      </c>
      <c r="D52" s="6">
        <v>673492.93</v>
      </c>
      <c r="E52" s="6">
        <v>203692.93</v>
      </c>
      <c r="F52" s="6">
        <v>43.3574</v>
      </c>
    </row>
    <row r="53">
      <c r="A53" s="5">
        <v>45962.0</v>
      </c>
      <c r="B53" s="6" t="s">
        <v>22</v>
      </c>
      <c r="C53" s="6">
        <v>216000.0</v>
      </c>
      <c r="D53" s="6">
        <v>276359.14</v>
      </c>
      <c r="E53" s="6">
        <v>60359.14</v>
      </c>
      <c r="F53" s="6">
        <v>27.944</v>
      </c>
    </row>
    <row r="54">
      <c r="A54" s="5">
        <v>45962.0</v>
      </c>
      <c r="B54" s="6" t="s">
        <v>20</v>
      </c>
      <c r="C54" s="6">
        <v>252000.0</v>
      </c>
      <c r="D54" s="6">
        <v>318636.93</v>
      </c>
      <c r="E54" s="6">
        <v>66636.93</v>
      </c>
      <c r="F54" s="6">
        <v>26.4432</v>
      </c>
    </row>
    <row r="55">
      <c r="A55" s="5">
        <v>45962.0</v>
      </c>
      <c r="B55" s="6" t="s">
        <v>21</v>
      </c>
      <c r="C55" s="6">
        <v>180000.0</v>
      </c>
      <c r="D55" s="6">
        <v>226935.53</v>
      </c>
      <c r="E55" s="6">
        <v>46935.53</v>
      </c>
      <c r="F55" s="6">
        <v>26.0753</v>
      </c>
    </row>
    <row r="56">
      <c r="A56" s="5">
        <v>45962.0</v>
      </c>
      <c r="B56" s="6" t="s">
        <v>23</v>
      </c>
      <c r="C56" s="6">
        <v>162000.0</v>
      </c>
      <c r="D56" s="6">
        <v>144352.49</v>
      </c>
      <c r="E56" s="6">
        <v>-17647.51</v>
      </c>
      <c r="F56" s="6">
        <v>-10.8935</v>
      </c>
    </row>
    <row r="57">
      <c r="A57" s="5">
        <v>45992.0</v>
      </c>
      <c r="B57" s="6" t="s">
        <v>11</v>
      </c>
      <c r="C57" s="6">
        <v>469800.0</v>
      </c>
      <c r="D57" s="6">
        <v>678848.81</v>
      </c>
      <c r="E57" s="6">
        <v>209048.81</v>
      </c>
      <c r="F57" s="6">
        <v>44.4974</v>
      </c>
    </row>
    <row r="58">
      <c r="A58" s="5">
        <v>45992.0</v>
      </c>
      <c r="B58" s="6" t="s">
        <v>22</v>
      </c>
      <c r="C58" s="6">
        <v>216000.0</v>
      </c>
      <c r="D58" s="6">
        <v>290347.02</v>
      </c>
      <c r="E58" s="6">
        <v>74347.02</v>
      </c>
      <c r="F58" s="6">
        <v>34.4199</v>
      </c>
    </row>
    <row r="59">
      <c r="A59" s="5">
        <v>45992.0</v>
      </c>
      <c r="B59" s="6" t="s">
        <v>21</v>
      </c>
      <c r="C59" s="6">
        <v>180000.0</v>
      </c>
      <c r="D59" s="6">
        <v>236926.59</v>
      </c>
      <c r="E59" s="6">
        <v>56926.59</v>
      </c>
      <c r="F59" s="6">
        <v>31.6259</v>
      </c>
    </row>
    <row r="60">
      <c r="A60" s="5">
        <v>45992.0</v>
      </c>
      <c r="B60" s="6" t="s">
        <v>20</v>
      </c>
      <c r="C60" s="6">
        <v>252000.0</v>
      </c>
      <c r="D60" s="6">
        <v>316487.28</v>
      </c>
      <c r="E60" s="6">
        <v>64487.28</v>
      </c>
      <c r="F60" s="6">
        <v>25.5902</v>
      </c>
    </row>
    <row r="61">
      <c r="A61" s="5">
        <v>45992.0</v>
      </c>
      <c r="B61" s="6" t="s">
        <v>23</v>
      </c>
      <c r="C61" s="6">
        <v>162000.0</v>
      </c>
      <c r="D61" s="6">
        <v>157444.96</v>
      </c>
      <c r="E61" s="6">
        <v>-4555.04</v>
      </c>
      <c r="F61" s="6">
        <v>-2.8118</v>
      </c>
    </row>
    <row r="62">
      <c r="A62" s="5">
        <v>46023.0</v>
      </c>
      <c r="B62" s="6" t="s">
        <v>11</v>
      </c>
      <c r="C62" s="6">
        <v>497988.0</v>
      </c>
      <c r="D62" s="6">
        <v>697476.88</v>
      </c>
      <c r="E62" s="6">
        <v>199488.88</v>
      </c>
      <c r="F62" s="6">
        <v>40.059</v>
      </c>
    </row>
    <row r="63">
      <c r="A63" s="5">
        <v>46023.0</v>
      </c>
      <c r="B63" s="6" t="s">
        <v>22</v>
      </c>
      <c r="C63" s="6">
        <v>228960.0</v>
      </c>
      <c r="D63" s="6">
        <v>294980.55</v>
      </c>
      <c r="E63" s="6">
        <v>66020.55</v>
      </c>
      <c r="F63" s="6">
        <v>28.835</v>
      </c>
    </row>
    <row r="64">
      <c r="A64" s="5">
        <v>46023.0</v>
      </c>
      <c r="B64" s="6" t="s">
        <v>21</v>
      </c>
      <c r="C64" s="6">
        <v>190800.0</v>
      </c>
      <c r="D64" s="6">
        <v>235065.46</v>
      </c>
      <c r="E64" s="6">
        <v>44265.46</v>
      </c>
      <c r="F64" s="6">
        <v>23.1999</v>
      </c>
    </row>
    <row r="65">
      <c r="A65" s="5">
        <v>46023.0</v>
      </c>
      <c r="B65" s="6" t="s">
        <v>20</v>
      </c>
      <c r="C65" s="6">
        <v>267120.0</v>
      </c>
      <c r="D65" s="6">
        <v>315953.6</v>
      </c>
      <c r="E65" s="6">
        <v>48833.6</v>
      </c>
      <c r="F65" s="6">
        <v>18.2815</v>
      </c>
    </row>
    <row r="66">
      <c r="A66" s="5">
        <v>46023.0</v>
      </c>
      <c r="B66" s="6" t="s">
        <v>23</v>
      </c>
      <c r="C66" s="6">
        <v>171720.0</v>
      </c>
      <c r="D66" s="6">
        <v>150231.3</v>
      </c>
      <c r="E66" s="6">
        <v>-21488.7</v>
      </c>
      <c r="F66" s="6">
        <v>-12.5138</v>
      </c>
    </row>
    <row r="67">
      <c r="A67" s="5">
        <v>46054.0</v>
      </c>
      <c r="B67" s="6" t="s">
        <v>11</v>
      </c>
      <c r="C67" s="6">
        <v>497988.0</v>
      </c>
      <c r="D67" s="6">
        <v>721654.56</v>
      </c>
      <c r="E67" s="6">
        <v>223666.56</v>
      </c>
      <c r="F67" s="6">
        <v>44.914</v>
      </c>
    </row>
    <row r="68">
      <c r="A68" s="5">
        <v>46054.0</v>
      </c>
      <c r="B68" s="6" t="s">
        <v>22</v>
      </c>
      <c r="C68" s="6">
        <v>228960.0</v>
      </c>
      <c r="D68" s="6">
        <v>291861.59</v>
      </c>
      <c r="E68" s="6">
        <v>62901.59</v>
      </c>
      <c r="F68" s="6">
        <v>27.4727</v>
      </c>
    </row>
    <row r="69">
      <c r="A69" s="5">
        <v>46054.0</v>
      </c>
      <c r="B69" s="6" t="s">
        <v>20</v>
      </c>
      <c r="C69" s="6">
        <v>267120.0</v>
      </c>
      <c r="D69" s="6">
        <v>336350.52</v>
      </c>
      <c r="E69" s="6">
        <v>69230.52</v>
      </c>
      <c r="F69" s="6">
        <v>25.9174</v>
      </c>
    </row>
    <row r="70">
      <c r="A70" s="5">
        <v>46054.0</v>
      </c>
      <c r="B70" s="6" t="s">
        <v>21</v>
      </c>
      <c r="C70" s="6">
        <v>190800.0</v>
      </c>
      <c r="D70" s="6">
        <v>236765.4</v>
      </c>
      <c r="E70" s="6">
        <v>45965.4</v>
      </c>
      <c r="F70" s="6">
        <v>24.0909</v>
      </c>
    </row>
    <row r="71">
      <c r="A71" s="5">
        <v>46054.0</v>
      </c>
      <c r="B71" s="6" t="s">
        <v>23</v>
      </c>
      <c r="C71" s="6">
        <v>171720.0</v>
      </c>
      <c r="D71" s="6">
        <v>163726.1</v>
      </c>
      <c r="E71" s="6">
        <v>-7993.9</v>
      </c>
      <c r="F71" s="6">
        <v>-4.6552</v>
      </c>
    </row>
    <row r="72">
      <c r="A72" s="5">
        <v>46082.0</v>
      </c>
      <c r="B72" s="6" t="s">
        <v>11</v>
      </c>
      <c r="C72" s="6">
        <v>497988.0</v>
      </c>
      <c r="D72" s="6">
        <v>714700.19</v>
      </c>
      <c r="E72" s="6">
        <v>216712.19</v>
      </c>
      <c r="F72" s="6">
        <v>43.5176</v>
      </c>
    </row>
    <row r="73">
      <c r="A73" s="5">
        <v>46082.0</v>
      </c>
      <c r="B73" s="6" t="s">
        <v>20</v>
      </c>
      <c r="C73" s="6">
        <v>267120.0</v>
      </c>
      <c r="D73" s="6">
        <v>352332.42</v>
      </c>
      <c r="E73" s="6">
        <v>85212.42</v>
      </c>
      <c r="F73" s="6">
        <v>31.9004</v>
      </c>
    </row>
    <row r="74">
      <c r="A74" s="5">
        <v>46082.0</v>
      </c>
      <c r="B74" s="6" t="s">
        <v>22</v>
      </c>
      <c r="C74" s="6">
        <v>228960.0</v>
      </c>
      <c r="D74" s="6">
        <v>283223.99</v>
      </c>
      <c r="E74" s="6">
        <v>54263.99</v>
      </c>
      <c r="F74" s="6">
        <v>23.7002</v>
      </c>
    </row>
    <row r="75">
      <c r="A75" s="5">
        <v>46082.0</v>
      </c>
      <c r="B75" s="6" t="s">
        <v>21</v>
      </c>
      <c r="C75" s="6">
        <v>190800.0</v>
      </c>
      <c r="D75" s="6">
        <v>232938.9</v>
      </c>
      <c r="E75" s="6">
        <v>42138.9</v>
      </c>
      <c r="F75" s="6">
        <v>22.0854</v>
      </c>
    </row>
    <row r="76">
      <c r="A76" s="5">
        <v>46082.0</v>
      </c>
      <c r="B76" s="6" t="s">
        <v>23</v>
      </c>
      <c r="C76" s="6">
        <v>171720.0</v>
      </c>
      <c r="D76" s="6">
        <v>154005.01</v>
      </c>
      <c r="E76" s="6">
        <v>-17714.99</v>
      </c>
      <c r="F76" s="6">
        <v>-10.3162</v>
      </c>
    </row>
    <row r="77">
      <c r="A77" s="5">
        <v>46113.0</v>
      </c>
      <c r="B77" s="6" t="s">
        <v>11</v>
      </c>
      <c r="C77" s="6">
        <v>497988.0</v>
      </c>
      <c r="D77" s="6">
        <v>742264.31</v>
      </c>
      <c r="E77" s="6">
        <v>244276.31</v>
      </c>
      <c r="F77" s="6">
        <v>49.0526</v>
      </c>
    </row>
    <row r="78">
      <c r="A78" s="5">
        <v>46113.0</v>
      </c>
      <c r="B78" s="6" t="s">
        <v>21</v>
      </c>
      <c r="C78" s="6">
        <v>190800.0</v>
      </c>
      <c r="D78" s="6">
        <v>265085.23</v>
      </c>
      <c r="E78" s="6">
        <v>74285.23</v>
      </c>
      <c r="F78" s="6">
        <v>38.9336</v>
      </c>
    </row>
    <row r="79">
      <c r="A79" s="5">
        <v>46113.0</v>
      </c>
      <c r="B79" s="6" t="s">
        <v>22</v>
      </c>
      <c r="C79" s="6">
        <v>228960.0</v>
      </c>
      <c r="D79" s="6">
        <v>306405.68</v>
      </c>
      <c r="E79" s="6">
        <v>77445.68</v>
      </c>
      <c r="F79" s="6">
        <v>33.825</v>
      </c>
    </row>
    <row r="80">
      <c r="A80" s="5">
        <v>46113.0</v>
      </c>
      <c r="B80" s="6" t="s">
        <v>20</v>
      </c>
      <c r="C80" s="6">
        <v>267120.0</v>
      </c>
      <c r="D80" s="6">
        <v>336552.89</v>
      </c>
      <c r="E80" s="6">
        <v>69432.89</v>
      </c>
      <c r="F80" s="6">
        <v>25.9931</v>
      </c>
    </row>
    <row r="81">
      <c r="A81" s="5">
        <v>46113.0</v>
      </c>
      <c r="B81" s="6" t="s">
        <v>23</v>
      </c>
      <c r="C81" s="6">
        <v>171720.0</v>
      </c>
      <c r="D81" s="6">
        <v>170071.35</v>
      </c>
      <c r="E81" s="6">
        <v>-1648.65</v>
      </c>
      <c r="F81" s="6">
        <v>-0.9601</v>
      </c>
    </row>
    <row r="82">
      <c r="A82" s="5">
        <v>46143.0</v>
      </c>
      <c r="B82" s="6" t="s">
        <v>11</v>
      </c>
      <c r="C82" s="6">
        <v>497988.0</v>
      </c>
      <c r="D82" s="6">
        <v>729666.52</v>
      </c>
      <c r="E82" s="6">
        <v>231678.52</v>
      </c>
      <c r="F82" s="6">
        <v>46.5229</v>
      </c>
    </row>
    <row r="83">
      <c r="A83" s="5">
        <v>46143.0</v>
      </c>
      <c r="B83" s="6" t="s">
        <v>22</v>
      </c>
      <c r="C83" s="6">
        <v>228960.0</v>
      </c>
      <c r="D83" s="6">
        <v>307553.78</v>
      </c>
      <c r="E83" s="6">
        <v>78593.78</v>
      </c>
      <c r="F83" s="6">
        <v>34.3264</v>
      </c>
    </row>
    <row r="84">
      <c r="A84" s="5">
        <v>46143.0</v>
      </c>
      <c r="B84" s="6" t="s">
        <v>20</v>
      </c>
      <c r="C84" s="6">
        <v>267120.0</v>
      </c>
      <c r="D84" s="6">
        <v>345391.6</v>
      </c>
      <c r="E84" s="6">
        <v>78271.6</v>
      </c>
      <c r="F84" s="6">
        <v>29.302</v>
      </c>
    </row>
    <row r="85">
      <c r="A85" s="5">
        <v>46143.0</v>
      </c>
      <c r="B85" s="6" t="s">
        <v>21</v>
      </c>
      <c r="C85" s="6">
        <v>190800.0</v>
      </c>
      <c r="D85" s="6">
        <v>242806.4</v>
      </c>
      <c r="E85" s="6">
        <v>52006.4</v>
      </c>
      <c r="F85" s="6">
        <v>27.257</v>
      </c>
    </row>
    <row r="86">
      <c r="A86" s="5">
        <v>46143.0</v>
      </c>
      <c r="B86" s="6" t="s">
        <v>23</v>
      </c>
      <c r="C86" s="6">
        <v>171720.0</v>
      </c>
      <c r="D86" s="6">
        <v>165558.09</v>
      </c>
      <c r="E86" s="6">
        <v>-6161.91</v>
      </c>
      <c r="F86" s="6">
        <v>-3.5883</v>
      </c>
    </row>
    <row r="87">
      <c r="A87" s="5">
        <v>46174.0</v>
      </c>
      <c r="B87" s="6" t="s">
        <v>11</v>
      </c>
      <c r="C87" s="6">
        <v>497988.0</v>
      </c>
      <c r="D87" s="6">
        <v>727582.23</v>
      </c>
      <c r="E87" s="6">
        <v>229594.23</v>
      </c>
      <c r="F87" s="6">
        <v>46.1044</v>
      </c>
    </row>
    <row r="88">
      <c r="A88" s="5">
        <v>46174.0</v>
      </c>
      <c r="B88" s="6" t="s">
        <v>22</v>
      </c>
      <c r="C88" s="6">
        <v>228960.0</v>
      </c>
      <c r="D88" s="6">
        <v>301189.23</v>
      </c>
      <c r="E88" s="6">
        <v>72229.23</v>
      </c>
      <c r="F88" s="6">
        <v>31.5467</v>
      </c>
    </row>
    <row r="89">
      <c r="A89" s="5">
        <v>46174.0</v>
      </c>
      <c r="B89" s="6" t="s">
        <v>21</v>
      </c>
      <c r="C89" s="6">
        <v>190800.0</v>
      </c>
      <c r="D89" s="6">
        <v>246913.59</v>
      </c>
      <c r="E89" s="6">
        <v>56113.59</v>
      </c>
      <c r="F89" s="6">
        <v>29.4096</v>
      </c>
    </row>
    <row r="90">
      <c r="A90" s="5">
        <v>46174.0</v>
      </c>
      <c r="B90" s="6" t="s">
        <v>20</v>
      </c>
      <c r="C90" s="6">
        <v>267120.0</v>
      </c>
      <c r="D90" s="6">
        <v>343238.28</v>
      </c>
      <c r="E90" s="6">
        <v>76118.28</v>
      </c>
      <c r="F90" s="6">
        <v>28.4959</v>
      </c>
    </row>
    <row r="91">
      <c r="A91" s="5">
        <v>46174.0</v>
      </c>
      <c r="B91" s="6" t="s">
        <v>23</v>
      </c>
      <c r="C91" s="6">
        <v>171720.0</v>
      </c>
      <c r="D91" s="6">
        <v>173453.86</v>
      </c>
      <c r="E91" s="6">
        <v>1733.86</v>
      </c>
      <c r="F91" s="6">
        <v>1.0097</v>
      </c>
    </row>
    <row r="92">
      <c r="A92" s="5">
        <v>46204.0</v>
      </c>
      <c r="B92" s="6" t="s">
        <v>11</v>
      </c>
      <c r="C92" s="6">
        <v>497988.0</v>
      </c>
      <c r="D92" s="6">
        <v>839460.33</v>
      </c>
      <c r="E92" s="6">
        <v>341472.33</v>
      </c>
      <c r="F92" s="6">
        <v>68.5704</v>
      </c>
    </row>
    <row r="93">
      <c r="A93" s="5">
        <v>46204.0</v>
      </c>
      <c r="B93" s="6" t="s">
        <v>21</v>
      </c>
      <c r="C93" s="6">
        <v>190800.0</v>
      </c>
      <c r="D93" s="6">
        <v>296220.41</v>
      </c>
      <c r="E93" s="6">
        <v>105420.41</v>
      </c>
      <c r="F93" s="6">
        <v>55.2518</v>
      </c>
    </row>
    <row r="94">
      <c r="A94" s="5">
        <v>46204.0</v>
      </c>
      <c r="B94" s="6" t="s">
        <v>22</v>
      </c>
      <c r="C94" s="6">
        <v>228960.0</v>
      </c>
      <c r="D94" s="6">
        <v>346172.53</v>
      </c>
      <c r="E94" s="6">
        <v>117212.53</v>
      </c>
      <c r="F94" s="6">
        <v>51.1935</v>
      </c>
    </row>
    <row r="95">
      <c r="A95" s="5">
        <v>46204.0</v>
      </c>
      <c r="B95" s="6" t="s">
        <v>20</v>
      </c>
      <c r="C95" s="6">
        <v>267120.0</v>
      </c>
      <c r="D95" s="6">
        <v>395517.93</v>
      </c>
      <c r="E95" s="6">
        <v>128397.93</v>
      </c>
      <c r="F95" s="6">
        <v>48.0675</v>
      </c>
    </row>
    <row r="96">
      <c r="A96" s="5">
        <v>46204.0</v>
      </c>
      <c r="B96" s="6" t="s">
        <v>23</v>
      </c>
      <c r="C96" s="6">
        <v>171720.0</v>
      </c>
      <c r="D96" s="6">
        <v>202473.69</v>
      </c>
      <c r="E96" s="6">
        <v>30753.69</v>
      </c>
      <c r="F96" s="6">
        <v>17.9092</v>
      </c>
    </row>
    <row r="97">
      <c r="A97" s="5">
        <v>46235.0</v>
      </c>
      <c r="B97" s="6" t="s">
        <v>11</v>
      </c>
      <c r="C97" s="6">
        <v>497988.0</v>
      </c>
      <c r="D97" s="6">
        <v>876665.22</v>
      </c>
      <c r="E97" s="6">
        <v>378677.22</v>
      </c>
      <c r="F97" s="6">
        <v>76.0414</v>
      </c>
    </row>
    <row r="98">
      <c r="A98" s="5">
        <v>46235.0</v>
      </c>
      <c r="B98" s="6" t="s">
        <v>20</v>
      </c>
      <c r="C98" s="6">
        <v>267120.0</v>
      </c>
      <c r="D98" s="6">
        <v>419709.8</v>
      </c>
      <c r="E98" s="6">
        <v>152589.8</v>
      </c>
      <c r="F98" s="6">
        <v>57.1241</v>
      </c>
    </row>
    <row r="99">
      <c r="A99" s="5">
        <v>46235.0</v>
      </c>
      <c r="B99" s="6" t="s">
        <v>21</v>
      </c>
      <c r="C99" s="6">
        <v>190800.0</v>
      </c>
      <c r="D99" s="6">
        <v>289561.69</v>
      </c>
      <c r="E99" s="6">
        <v>98761.69</v>
      </c>
      <c r="F99" s="6">
        <v>51.7619</v>
      </c>
    </row>
    <row r="100">
      <c r="A100" s="5">
        <v>46235.0</v>
      </c>
      <c r="B100" s="6" t="s">
        <v>22</v>
      </c>
      <c r="C100" s="6">
        <v>228960.0</v>
      </c>
      <c r="D100" s="6">
        <v>345396.97</v>
      </c>
      <c r="E100" s="6">
        <v>116436.97</v>
      </c>
      <c r="F100" s="6">
        <v>50.8547</v>
      </c>
    </row>
    <row r="101">
      <c r="A101" s="5">
        <v>46235.0</v>
      </c>
      <c r="B101" s="6" t="s">
        <v>23</v>
      </c>
      <c r="C101" s="6">
        <v>171720.0</v>
      </c>
      <c r="D101" s="6">
        <v>191430.0</v>
      </c>
      <c r="E101" s="6">
        <v>19710.0</v>
      </c>
      <c r="F101" s="6">
        <v>11.478</v>
      </c>
    </row>
    <row r="102">
      <c r="A102" s="5">
        <v>46266.0</v>
      </c>
      <c r="B102" s="6" t="s">
        <v>11</v>
      </c>
      <c r="C102" s="6">
        <v>497988.0</v>
      </c>
      <c r="D102" s="6">
        <v>887518.67</v>
      </c>
      <c r="E102" s="6">
        <v>389530.67</v>
      </c>
      <c r="F102" s="6">
        <v>78.2209</v>
      </c>
    </row>
    <row r="103">
      <c r="A103" s="5">
        <v>46266.0</v>
      </c>
      <c r="B103" s="6" t="s">
        <v>22</v>
      </c>
      <c r="C103" s="6">
        <v>228960.0</v>
      </c>
      <c r="D103" s="6">
        <v>383898.22</v>
      </c>
      <c r="E103" s="6">
        <v>154938.22</v>
      </c>
      <c r="F103" s="6">
        <v>67.6704</v>
      </c>
    </row>
    <row r="104">
      <c r="A104" s="5">
        <v>46266.0</v>
      </c>
      <c r="B104" s="6" t="s">
        <v>20</v>
      </c>
      <c r="C104" s="6">
        <v>267120.0</v>
      </c>
      <c r="D104" s="6">
        <v>427486.5</v>
      </c>
      <c r="E104" s="6">
        <v>160366.5</v>
      </c>
      <c r="F104" s="6">
        <v>60.0354</v>
      </c>
    </row>
    <row r="105">
      <c r="A105" s="5">
        <v>46266.0</v>
      </c>
      <c r="B105" s="6" t="s">
        <v>21</v>
      </c>
      <c r="C105" s="6">
        <v>190800.0</v>
      </c>
      <c r="D105" s="6">
        <v>292098.97</v>
      </c>
      <c r="E105" s="6">
        <v>101298.97</v>
      </c>
      <c r="F105" s="6">
        <v>53.0917</v>
      </c>
    </row>
    <row r="106">
      <c r="A106" s="5">
        <v>46266.0</v>
      </c>
      <c r="B106" s="6" t="s">
        <v>23</v>
      </c>
      <c r="C106" s="6">
        <v>171720.0</v>
      </c>
      <c r="D106" s="6">
        <v>199652.39</v>
      </c>
      <c r="E106" s="6">
        <v>27932.39</v>
      </c>
      <c r="F106" s="6">
        <v>16.2662</v>
      </c>
    </row>
    <row r="107">
      <c r="A107" s="5">
        <v>46296.0</v>
      </c>
      <c r="B107" s="6" t="s">
        <v>11</v>
      </c>
      <c r="C107" s="6">
        <v>497988.0</v>
      </c>
      <c r="D107" s="6">
        <v>760409.24</v>
      </c>
      <c r="E107" s="6">
        <v>262421.24</v>
      </c>
      <c r="F107" s="6">
        <v>52.6963</v>
      </c>
    </row>
    <row r="108">
      <c r="A108" s="5">
        <v>46296.0</v>
      </c>
      <c r="B108" s="6" t="s">
        <v>22</v>
      </c>
      <c r="C108" s="6">
        <v>228960.0</v>
      </c>
      <c r="D108" s="6">
        <v>331354.66</v>
      </c>
      <c r="E108" s="6">
        <v>102394.66</v>
      </c>
      <c r="F108" s="6">
        <v>44.7216</v>
      </c>
    </row>
    <row r="109">
      <c r="A109" s="5">
        <v>46296.0</v>
      </c>
      <c r="B109" s="6" t="s">
        <v>20</v>
      </c>
      <c r="C109" s="6">
        <v>267120.0</v>
      </c>
      <c r="D109" s="6">
        <v>375646.31</v>
      </c>
      <c r="E109" s="6">
        <v>108526.31</v>
      </c>
      <c r="F109" s="6">
        <v>40.6283</v>
      </c>
    </row>
    <row r="110">
      <c r="A110" s="5">
        <v>46296.0</v>
      </c>
      <c r="B110" s="6" t="s">
        <v>21</v>
      </c>
      <c r="C110" s="6">
        <v>190800.0</v>
      </c>
      <c r="D110" s="6">
        <v>259760.6</v>
      </c>
      <c r="E110" s="6">
        <v>68960.6</v>
      </c>
      <c r="F110" s="6">
        <v>36.1429</v>
      </c>
    </row>
    <row r="111">
      <c r="A111" s="5">
        <v>46296.0</v>
      </c>
      <c r="B111" s="6" t="s">
        <v>23</v>
      </c>
      <c r="C111" s="6">
        <v>171720.0</v>
      </c>
      <c r="D111" s="6">
        <v>168230.46</v>
      </c>
      <c r="E111" s="6">
        <v>-3489.54</v>
      </c>
      <c r="F111" s="6">
        <v>-2.0321</v>
      </c>
    </row>
    <row r="112">
      <c r="A112" s="5">
        <v>46327.0</v>
      </c>
      <c r="B112" s="6" t="s">
        <v>11</v>
      </c>
      <c r="C112" s="6">
        <v>497988.0</v>
      </c>
      <c r="D112" s="6">
        <v>799221.47</v>
      </c>
      <c r="E112" s="6">
        <v>301233.47</v>
      </c>
      <c r="F112" s="6">
        <v>60.4901</v>
      </c>
    </row>
    <row r="113">
      <c r="A113" s="5">
        <v>46327.0</v>
      </c>
      <c r="B113" s="6" t="s">
        <v>21</v>
      </c>
      <c r="C113" s="6">
        <v>190800.0</v>
      </c>
      <c r="D113" s="6">
        <v>284201.02</v>
      </c>
      <c r="E113" s="6">
        <v>93401.02</v>
      </c>
      <c r="F113" s="6">
        <v>48.9523</v>
      </c>
    </row>
    <row r="114">
      <c r="A114" s="5">
        <v>46327.0</v>
      </c>
      <c r="B114" s="6" t="s">
        <v>22</v>
      </c>
      <c r="C114" s="6">
        <v>228960.0</v>
      </c>
      <c r="D114" s="6">
        <v>339116.2</v>
      </c>
      <c r="E114" s="6">
        <v>110156.2</v>
      </c>
      <c r="F114" s="6">
        <v>48.1115</v>
      </c>
    </row>
    <row r="115">
      <c r="A115" s="5">
        <v>46327.0</v>
      </c>
      <c r="B115" s="6" t="s">
        <v>20</v>
      </c>
      <c r="C115" s="6">
        <v>267120.0</v>
      </c>
      <c r="D115" s="6">
        <v>380119.23</v>
      </c>
      <c r="E115" s="6">
        <v>112999.23</v>
      </c>
      <c r="F115" s="6">
        <v>42.3028</v>
      </c>
    </row>
    <row r="116">
      <c r="A116" s="5">
        <v>46327.0</v>
      </c>
      <c r="B116" s="6" t="s">
        <v>23</v>
      </c>
      <c r="C116" s="6">
        <v>171720.0</v>
      </c>
      <c r="D116" s="6">
        <v>172735.0</v>
      </c>
      <c r="E116" s="6">
        <v>1015.0</v>
      </c>
      <c r="F116" s="6">
        <v>0.5911</v>
      </c>
    </row>
    <row r="117">
      <c r="A117" s="5">
        <v>46357.0</v>
      </c>
      <c r="B117" s="6" t="s">
        <v>11</v>
      </c>
      <c r="C117" s="6">
        <v>497988.0</v>
      </c>
      <c r="D117" s="6">
        <v>868699.62</v>
      </c>
      <c r="E117" s="6">
        <v>370711.62</v>
      </c>
      <c r="F117" s="6">
        <v>74.4419</v>
      </c>
    </row>
    <row r="118">
      <c r="A118" s="5">
        <v>46357.0</v>
      </c>
      <c r="B118" s="6" t="s">
        <v>21</v>
      </c>
      <c r="C118" s="6">
        <v>190800.0</v>
      </c>
      <c r="D118" s="6">
        <v>283552.65</v>
      </c>
      <c r="E118" s="6">
        <v>92752.65</v>
      </c>
      <c r="F118" s="6">
        <v>48.6125</v>
      </c>
    </row>
    <row r="119">
      <c r="A119" s="5">
        <v>46357.0</v>
      </c>
      <c r="B119" s="6" t="s">
        <v>20</v>
      </c>
      <c r="C119" s="6">
        <v>267120.0</v>
      </c>
      <c r="D119" s="6">
        <v>392422.55</v>
      </c>
      <c r="E119" s="6">
        <v>125302.55</v>
      </c>
      <c r="F119" s="6">
        <v>46.9087</v>
      </c>
    </row>
    <row r="120">
      <c r="A120" s="5">
        <v>46357.0</v>
      </c>
      <c r="B120" s="6" t="s">
        <v>22</v>
      </c>
      <c r="C120" s="6">
        <v>228960.0</v>
      </c>
      <c r="D120" s="6">
        <v>324794.44</v>
      </c>
      <c r="E120" s="6">
        <v>95834.44</v>
      </c>
      <c r="F120" s="6">
        <v>41.8564</v>
      </c>
    </row>
    <row r="121">
      <c r="A121" s="5">
        <v>46357.0</v>
      </c>
      <c r="B121" s="6" t="s">
        <v>23</v>
      </c>
      <c r="C121" s="6">
        <v>171720.0</v>
      </c>
      <c r="D121" s="6">
        <v>171729.62</v>
      </c>
      <c r="E121" s="6">
        <v>9.62</v>
      </c>
      <c r="F121" s="6">
        <v>0.0056</v>
      </c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3.63"/>
    <col customWidth="1" min="3" max="3" width="11.0"/>
    <col customWidth="1" min="4" max="4" width="13.38"/>
  </cols>
  <sheetData>
    <row r="1">
      <c r="A1" s="14" t="s">
        <v>28</v>
      </c>
      <c r="B1" s="15" t="s">
        <v>29</v>
      </c>
      <c r="C1" s="15" t="s">
        <v>30</v>
      </c>
      <c r="D1" s="15" t="s">
        <v>31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6" t="s">
        <v>32</v>
      </c>
      <c r="B2" s="17">
        <v>0.008</v>
      </c>
      <c r="C2" s="17">
        <v>0.014</v>
      </c>
      <c r="D2" s="17">
        <v>0.004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6" t="s">
        <v>33</v>
      </c>
      <c r="B3" s="18" t="s">
        <v>34</v>
      </c>
      <c r="C3" s="18" t="s">
        <v>35</v>
      </c>
      <c r="D3" s="18" t="s">
        <v>36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6" t="s">
        <v>38</v>
      </c>
      <c r="B4" s="19">
        <v>0.1</v>
      </c>
      <c r="C4" s="19">
        <v>0.1</v>
      </c>
      <c r="D4" s="19">
        <v>0.1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 t="s">
        <v>39</v>
      </c>
      <c r="B5" s="19">
        <v>0.2</v>
      </c>
      <c r="C5" s="19">
        <v>0.2</v>
      </c>
      <c r="D5" s="19">
        <v>0.2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6" t="s">
        <v>40</v>
      </c>
      <c r="B6" s="19">
        <v>0.08</v>
      </c>
      <c r="C6" s="19">
        <v>0.08</v>
      </c>
      <c r="D6" s="19">
        <v>0.08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6" t="s">
        <v>41</v>
      </c>
      <c r="B7" s="19">
        <v>0.06</v>
      </c>
      <c r="C7" s="19">
        <v>0.06</v>
      </c>
      <c r="D7" s="19">
        <v>0.06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6" t="s">
        <v>42</v>
      </c>
      <c r="B8" s="19">
        <v>0.0</v>
      </c>
      <c r="C8" s="19">
        <v>0.0</v>
      </c>
      <c r="D8" s="19">
        <v>-0.12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43</v>
      </c>
      <c r="B9" s="19">
        <v>0.0</v>
      </c>
      <c r="C9" s="19">
        <v>0.0</v>
      </c>
      <c r="D9" s="19">
        <v>-0.2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 t="s">
        <v>45</v>
      </c>
      <c r="B14" s="15" t="s">
        <v>46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 t="s">
        <v>21</v>
      </c>
      <c r="B15" s="18" t="s">
        <v>47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 t="s">
        <v>22</v>
      </c>
      <c r="B16" s="18" t="s">
        <v>48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6" t="s">
        <v>20</v>
      </c>
      <c r="B17" s="18" t="s">
        <v>49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6" t="s">
        <v>11</v>
      </c>
      <c r="B18" s="18" t="s">
        <v>50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6" t="s">
        <v>23</v>
      </c>
      <c r="B19" s="18" t="s">
        <v>51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19.0"/>
    <col customWidth="1" min="4" max="4" width="15.75"/>
    <col customWidth="1" min="5" max="5" width="16.63"/>
    <col customWidth="1" min="6" max="6" width="15.38"/>
  </cols>
  <sheetData>
    <row r="1" ht="22.5" customHeight="1">
      <c r="A1" s="20" t="s">
        <v>52</v>
      </c>
      <c r="B1" s="20" t="s">
        <v>6</v>
      </c>
      <c r="C1" s="20" t="s">
        <v>14</v>
      </c>
      <c r="D1" s="20" t="s">
        <v>15</v>
      </c>
      <c r="E1" s="20" t="s">
        <v>16</v>
      </c>
      <c r="F1" s="20" t="s">
        <v>53</v>
      </c>
    </row>
    <row r="2" ht="22.5" hidden="1" customHeight="1">
      <c r="A2" s="21">
        <v>2025.0</v>
      </c>
      <c r="B2" s="22" t="s">
        <v>20</v>
      </c>
      <c r="C2" s="23">
        <v>1.45123333333342E7</v>
      </c>
      <c r="D2" s="23">
        <v>3619794.88</v>
      </c>
      <c r="E2" s="23">
        <v>2286915.49</v>
      </c>
      <c r="F2" s="23">
        <v>2.04190437033342E7</v>
      </c>
    </row>
    <row r="3" ht="22.5" hidden="1" customHeight="1">
      <c r="A3" s="21">
        <v>2025.0</v>
      </c>
      <c r="B3" s="22" t="s">
        <v>11</v>
      </c>
      <c r="C3" s="23">
        <v>1.28981666666671E7</v>
      </c>
      <c r="D3" s="23">
        <v>7668335.93</v>
      </c>
      <c r="E3" s="23">
        <v>1920250.22</v>
      </c>
      <c r="F3" s="23">
        <v>2.24867528166671E7</v>
      </c>
    </row>
    <row r="4" ht="22.5" hidden="1" customHeight="1">
      <c r="A4" s="21">
        <v>2025.0</v>
      </c>
      <c r="B4" s="22" t="s">
        <v>22</v>
      </c>
      <c r="C4" s="23">
        <v>1.75667916666645E7</v>
      </c>
      <c r="D4" s="23">
        <v>3090731.06</v>
      </c>
      <c r="E4" s="23">
        <v>1476795.17</v>
      </c>
      <c r="F4" s="23">
        <v>2.21343178966645E7</v>
      </c>
    </row>
    <row r="5" ht="22.5" hidden="1" customHeight="1">
      <c r="A5" s="21">
        <v>2025.0</v>
      </c>
      <c r="B5" s="22" t="s">
        <v>21</v>
      </c>
      <c r="C5" s="23">
        <v>1.34376666666658E7</v>
      </c>
      <c r="D5" s="23">
        <v>2576969.97</v>
      </c>
      <c r="E5" s="23">
        <v>1459362.92</v>
      </c>
      <c r="F5" s="23">
        <v>1.74739995566658E7</v>
      </c>
    </row>
    <row r="6" ht="22.5" hidden="1" customHeight="1">
      <c r="A6" s="21">
        <v>2025.0</v>
      </c>
      <c r="B6" s="22" t="s">
        <v>23</v>
      </c>
      <c r="C6" s="23">
        <v>1.2881375E7</v>
      </c>
      <c r="D6" s="23">
        <v>1710680.78</v>
      </c>
      <c r="E6" s="23">
        <v>1802731.51</v>
      </c>
      <c r="F6" s="23">
        <v>1.639478729E7</v>
      </c>
    </row>
    <row r="7" ht="22.5" customHeight="1">
      <c r="A7" s="21">
        <v>2026.0</v>
      </c>
      <c r="B7" s="22" t="s">
        <v>20</v>
      </c>
      <c r="C7" s="23">
        <v>1.62593654166697E7</v>
      </c>
      <c r="D7" s="23">
        <v>4420721.63</v>
      </c>
      <c r="E7" s="23">
        <v>2428415.24</v>
      </c>
      <c r="F7" s="23">
        <v>2.31085022866697E7</v>
      </c>
    </row>
    <row r="8" ht="22.5" customHeight="1">
      <c r="A8" s="21">
        <v>2026.0</v>
      </c>
      <c r="B8" s="22" t="s">
        <v>11</v>
      </c>
      <c r="C8" s="23">
        <v>1.50905299999987E7</v>
      </c>
      <c r="D8" s="23">
        <v>9365319.24</v>
      </c>
      <c r="E8" s="23">
        <v>2089204.6</v>
      </c>
      <c r="F8" s="23">
        <v>2.65450538399987E7</v>
      </c>
    </row>
    <row r="9" ht="22.5" customHeight="1">
      <c r="A9" s="21">
        <v>2026.0</v>
      </c>
      <c r="B9" s="22" t="s">
        <v>22</v>
      </c>
      <c r="C9" s="23">
        <v>2.00537566666645E7</v>
      </c>
      <c r="D9" s="23">
        <v>3855947.84</v>
      </c>
      <c r="E9" s="23">
        <v>1582608.96</v>
      </c>
      <c r="F9" s="23">
        <v>2.54923134666645E7</v>
      </c>
    </row>
    <row r="10" ht="22.5" customHeight="1">
      <c r="A10" s="21">
        <v>2026.0</v>
      </c>
      <c r="B10" s="22" t="s">
        <v>21</v>
      </c>
      <c r="C10" s="23">
        <v>1.53884575E7</v>
      </c>
      <c r="D10" s="23">
        <v>3164970.32</v>
      </c>
      <c r="E10" s="23">
        <v>1589788.05</v>
      </c>
      <c r="F10" s="23">
        <v>2.014321587E7</v>
      </c>
    </row>
    <row r="11" ht="22.5" customHeight="1">
      <c r="A11" s="21">
        <v>2026.0</v>
      </c>
      <c r="B11" s="22" t="s">
        <v>23</v>
      </c>
      <c r="C11" s="23">
        <v>1.48930275000026E7</v>
      </c>
      <c r="D11" s="23">
        <v>2083296.87</v>
      </c>
      <c r="E11" s="23">
        <v>1923309.63</v>
      </c>
      <c r="F11" s="23">
        <v>1.88996340000026E7</v>
      </c>
    </row>
  </sheetData>
  <dataValidations>
    <dataValidation type="custom" allowBlank="1" showDropDown="1" sqref="A2:A11 C2:F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52</v>
      </c>
      <c r="B1" s="24" t="s">
        <v>14</v>
      </c>
      <c r="C1" s="24" t="s">
        <v>15</v>
      </c>
      <c r="D1" s="24" t="s">
        <v>16</v>
      </c>
      <c r="E1" s="24" t="s">
        <v>54</v>
      </c>
      <c r="F1" s="24" t="s">
        <v>55</v>
      </c>
      <c r="G1" s="24" t="s">
        <v>56</v>
      </c>
      <c r="H1" s="24" t="s">
        <v>57</v>
      </c>
      <c r="I1" s="25"/>
      <c r="J1" s="14" t="s">
        <v>58</v>
      </c>
      <c r="K1" s="15" t="s">
        <v>59</v>
      </c>
      <c r="L1" s="25"/>
    </row>
    <row r="2">
      <c r="A2" s="26">
        <v>2025.0</v>
      </c>
      <c r="B2" s="27">
        <v>7.12963333333316E7</v>
      </c>
      <c r="C2" s="27">
        <v>1.866651262E7</v>
      </c>
      <c r="D2" s="27">
        <v>8946055.31</v>
      </c>
      <c r="E2" s="27">
        <v>9.89089012633316E7</v>
      </c>
      <c r="F2" s="27">
        <v>72.0828281607484</v>
      </c>
      <c r="G2" s="27">
        <v>18.8724294594103</v>
      </c>
      <c r="H2" s="27">
        <v>9.04474237984136</v>
      </c>
      <c r="I2" s="25"/>
      <c r="J2" s="16" t="s">
        <v>60</v>
      </c>
      <c r="K2" s="28">
        <f>F3</f>
        <v>71.53520721</v>
      </c>
      <c r="L2" s="25"/>
    </row>
    <row r="3">
      <c r="A3" s="26">
        <v>2026.0</v>
      </c>
      <c r="B3" s="27">
        <v>8.16851370833355E7</v>
      </c>
      <c r="C3" s="27">
        <v>2.28902559E7</v>
      </c>
      <c r="D3" s="27">
        <v>9613326.48</v>
      </c>
      <c r="E3" s="27">
        <v>1.14188719463336E8</v>
      </c>
      <c r="F3" s="27">
        <v>71.5352072141973</v>
      </c>
      <c r="G3" s="27">
        <v>20.0459870358295</v>
      </c>
      <c r="H3" s="27">
        <v>8.41880574997315</v>
      </c>
      <c r="I3" s="25"/>
      <c r="J3" s="16" t="s">
        <v>61</v>
      </c>
      <c r="K3" s="28">
        <f>G3</f>
        <v>20.04598704</v>
      </c>
      <c r="L3" s="25"/>
    </row>
    <row r="4">
      <c r="I4" s="25"/>
      <c r="J4" s="16" t="s">
        <v>62</v>
      </c>
      <c r="K4" s="28">
        <f>H3</f>
        <v>8.41880575</v>
      </c>
      <c r="L4" s="25"/>
    </row>
    <row r="5">
      <c r="I5" s="25"/>
      <c r="L5" s="25"/>
    </row>
    <row r="6">
      <c r="I6" s="25"/>
      <c r="J6" s="25"/>
      <c r="K6" s="25"/>
      <c r="L6" s="25"/>
    </row>
    <row r="7">
      <c r="I7" s="25"/>
      <c r="J7" s="25"/>
      <c r="K7" s="25"/>
      <c r="L7" s="25"/>
    </row>
    <row r="8">
      <c r="I8" s="25"/>
      <c r="J8" s="25"/>
      <c r="K8" s="25"/>
      <c r="L8" s="25"/>
    </row>
  </sheetData>
  <drawing r:id="rId1"/>
</worksheet>
</file>